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e360-my.sharepoint.com/personal/elmoghni_douaa_te_com/Documents/Desktop/"/>
    </mc:Choice>
  </mc:AlternateContent>
  <xr:revisionPtr revIDLastSave="0" documentId="8_{83066FBB-DF6F-4A25-BFCC-FBDF32DFDF84}" xr6:coauthVersionLast="47" xr6:coauthVersionMax="47" xr10:uidLastSave="{00000000-0000-0000-0000-000000000000}"/>
  <bookViews>
    <workbookView xWindow="-120" yWindow="-120" windowWidth="20730" windowHeight="11160" firstSheet="2" activeTab="7" xr2:uid="{00000000-000D-0000-FFFF-FFFF00000000}"/>
  </bookViews>
  <sheets>
    <sheet name="Cable Harness Configuration" sheetId="1" r:id="rId1"/>
    <sheet name="P-DRAWING BOM" sheetId="2" r:id="rId2"/>
    <sheet name="MODEL BOM" sheetId="3" r:id="rId3"/>
    <sheet name="C-DRAWING BOM" sheetId="4" r:id="rId4"/>
    <sheet name="Co-ordinates_Points" sheetId="5" r:id="rId5"/>
    <sheet name="Pin Out Chart General" sheetId="6" r:id="rId6"/>
    <sheet name="Sheet1" sheetId="7" state="hidden" r:id="rId7"/>
    <sheet name="General Lists" sheetId="8" r:id="rId8"/>
    <sheet name="Reference" sheetId="9" r:id="rId9"/>
  </sheets>
  <functionGroups builtInGroupCount="19"/>
  <definedNames>
    <definedName name="_xlnm._FilterDatabase" localSheetId="2" hidden="1">'MODEL BOM'!$H$2:$H$14</definedName>
    <definedName name="Approved_By">'Cable Harness Configuration'!$D$21</definedName>
    <definedName name="Approved_Date">'Cable Harness Configuration'!$D$24</definedName>
    <definedName name="Approved_Dtae">'Cable Harness Configuration'!$D$24</definedName>
    <definedName name="AssemblyName" localSheetId="8">Reference!$D$6</definedName>
    <definedName name="AssemblyName">'Cable Harness Configuration'!$D$6</definedName>
    <definedName name="CABLE_LABEL_PARTS">'MODEL BOM'!$I$1</definedName>
    <definedName name="CABLE_PART">'MODEL BOM'!$K$1</definedName>
    <definedName name="CABLE_SEARCH_COLUMN">'MODEL BOM'!$CA$1</definedName>
    <definedName name="CableHarnessSide" localSheetId="8">Reference!$D$28</definedName>
    <definedName name="CableHarnessSide">'Cable Harness Configuration'!$D$28</definedName>
    <definedName name="CableHarnessSideList" localSheetId="8">#REF!</definedName>
    <definedName name="CableHarnessSideList">#REF!</definedName>
    <definedName name="CableHarnessType" localSheetId="8">Reference!$D$27</definedName>
    <definedName name="CableHarnessType">'Cable Harness Configuration'!$D$27</definedName>
    <definedName name="CableHarnessTypeList" localSheetId="8">#REF!</definedName>
    <definedName name="CableHarnessTypeList">#REF!</definedName>
    <definedName name="CavAInsertDesc">'P-DRAWING BOM'!$D$19</definedName>
    <definedName name="CavAInsertMtl">'P-DRAWING BOM'!$E$19</definedName>
    <definedName name="CavAInsertName">'P-DRAWING BOM'!$B$19</definedName>
    <definedName name="CavAInsertPN">'P-DRAWING BOM'!$C$19</definedName>
    <definedName name="CavBInsertDesc">'P-DRAWING BOM'!$D$20</definedName>
    <definedName name="CavBInsertMtl">'P-DRAWING BOM'!$E$20</definedName>
    <definedName name="CavBInsertName">'P-DRAWING BOM'!$B$20</definedName>
    <definedName name="CavBInsertPN">'P-DRAWING BOM'!$C$20</definedName>
    <definedName name="CavCInsertDesc">'P-DRAWING BOM'!$D$21</definedName>
    <definedName name="CavCInsertMtl">'P-DRAWING BOM'!$E$21</definedName>
    <definedName name="CavCInsertName">'P-DRAWING BOM'!$B$21</definedName>
    <definedName name="CavCInsertPN">'P-DRAWING BOM'!$C$21</definedName>
    <definedName name="CavDInsertDesc">'P-DRAWING BOM'!$D$22</definedName>
    <definedName name="CavDInsertMtl">'P-DRAWING BOM'!$E$22</definedName>
    <definedName name="CavDInsertName">'P-DRAWING BOM'!$B$22</definedName>
    <definedName name="CavDInsertPN">'P-DRAWING BOM'!$C$22</definedName>
    <definedName name="CavEInsertDesc">'P-DRAWING BOM'!$D$23</definedName>
    <definedName name="CavEInsertMtl">'P-DRAWING BOM'!$E$23</definedName>
    <definedName name="CavEInsertName">'P-DRAWING BOM'!$B$23</definedName>
    <definedName name="CavEInsertPN">'P-DRAWING BOM'!$C$23</definedName>
    <definedName name="CavFInsertDesc">'P-DRAWING BOM'!$D$24</definedName>
    <definedName name="CavFInsertMtl">'P-DRAWING BOM'!$E$24</definedName>
    <definedName name="CavFInsertName">'P-DRAWING BOM'!$B$24</definedName>
    <definedName name="CavFInsertPN">'P-DRAWING BOM'!$C$24</definedName>
    <definedName name="CavityCInsert" localSheetId="8">Reference!$G$25</definedName>
    <definedName name="CavityCInsert">'Cable Harness Configuration'!$G$16</definedName>
    <definedName name="CavityDInsert" localSheetId="8">Reference!$G$26</definedName>
    <definedName name="CavityDInsert">'Cable Harness Configuration'!$G$17</definedName>
    <definedName name="CavityEInsert" localSheetId="8">Reference!$G$29</definedName>
    <definedName name="CavityEInsert">'Cable Harness Configuration'!$G$20</definedName>
    <definedName name="CavityFInsert" localSheetId="8">Reference!$G$39</definedName>
    <definedName name="CavityFInsert">'Cable Harness Configuration'!$G$30</definedName>
    <definedName name="Checked_by">'Cable Harness Configuration'!$D$20</definedName>
    <definedName name="Checked_Date">'Cable Harness Configuration'!$D$23</definedName>
    <definedName name="ClassTable" localSheetId="8">'General Lists'!#REF!</definedName>
    <definedName name="ClassTable">'General Lists'!#REF!</definedName>
    <definedName name="ClinchNutDesc">'P-DRAWING BOM'!$D$15</definedName>
    <definedName name="ClinchNutMdlName">'P-DRAWING BOM'!$C$15</definedName>
    <definedName name="ClinchNutPN">'P-DRAWING BOM'!$B$15</definedName>
    <definedName name="ClinchNuts_Desc" localSheetId="8">#REF!</definedName>
    <definedName name="ClinchNuts_Desc">#REF!</definedName>
    <definedName name="ClinchNuts_MdlName" localSheetId="8">#REF!</definedName>
    <definedName name="ClinchNuts_MdlName">#REF!</definedName>
    <definedName name="ClinchNuts_PN" localSheetId="8">#REF!</definedName>
    <definedName name="ClinchNuts_PN">#REF!</definedName>
    <definedName name="ClinchNuts_Size" localSheetId="8">#REF!</definedName>
    <definedName name="ClinchNuts_Size">#REF!</definedName>
    <definedName name="ClinchNuts_Type" localSheetId="8">#REF!</definedName>
    <definedName name="ClinchNuts_Type">#REF!</definedName>
    <definedName name="ClinchNutType_Column" localSheetId="8">INDEX(#REF!,,Reference!ClinchNutType_Column_Selected)</definedName>
    <definedName name="ClinchNutType_Column">INDEX(#REF!,,ClinchNutType_Column_Selected)</definedName>
    <definedName name="ClinchNutType_Column_Selected" localSheetId="8">MATCH(Reference!HarnessLengthD4,Reference!ClinchNutType_DropDown_Choices,0)</definedName>
    <definedName name="ClinchNutType_Column_Selected">MATCH(HarnessLengthD4,ClinchNutType_DropDown_Choices,0)</definedName>
    <definedName name="ClinchNutType_DropDown_Choices" localSheetId="8">#REF!</definedName>
    <definedName name="ClinchNutType_DropDown_Choices">#REF!</definedName>
    <definedName name="ClinchNutType_Selection_Choices" localSheetId="8">INDEX(#REF!,1,Reference!ClinchNutType_Column_Selected) : INDEX(#REF!,COUNTA(Reference!ClinchNutType_Column),Reference!ClinchNutType_Column_Selected)</definedName>
    <definedName name="ClinchNutType_Selection_Choices">INDEX(#REF!,1,ClinchNutType_Column_Selected) : INDEX(#REF!,COUNTA(ClinchNutType_Column),ClinchNutType_Column_Selected)</definedName>
    <definedName name="CoilDiameter" localSheetId="8">Reference!$D$14</definedName>
    <definedName name="CoilDiameter">'Cable Harness Configuration'!$D$14</definedName>
    <definedName name="CompFoundStatus" localSheetId="8">Reference!#REF!</definedName>
    <definedName name="CompFoundStatus">'Cable Harness Configuration'!$D$54</definedName>
    <definedName name="CONN1CAVITYPITCH">'Cable Harness Configuration'!$G$11</definedName>
    <definedName name="CONN2CAVITYPITCH">'Cable Harness Configuration'!$G$12</definedName>
    <definedName name="ConnectorRotation1" localSheetId="8">Reference!$D$45</definedName>
    <definedName name="ConnectorRotation1">'Cable Harness Configuration'!$D$45</definedName>
    <definedName name="ConnectorRotation2" localSheetId="8">Reference!$D$46</definedName>
    <definedName name="ConnectorRotation2">'Cable Harness Configuration'!$D$46</definedName>
    <definedName name="ConnectorRotation3" localSheetId="8">Reference!$D$47</definedName>
    <definedName name="ConnectorRotation3">'Cable Harness Configuration'!$D$47</definedName>
    <definedName name="ConnectorRotation4" localSheetId="8">Reference!$D$48</definedName>
    <definedName name="ConnectorRotation4">'Cable Harness Configuration'!$D$48</definedName>
    <definedName name="ConnectorRotation5" localSheetId="8">Reference!$D$49</definedName>
    <definedName name="ConnectorRotation5">'Cable Harness Configuration'!$D$49</definedName>
    <definedName name="CustomerCode" localSheetId="8">Reference!$D$8</definedName>
    <definedName name="CustomerCode">'Cable Harness Configuration'!$D$8</definedName>
    <definedName name="CustomerCodeList" localSheetId="8">#REF!</definedName>
    <definedName name="CustomerCodeList">#REF!</definedName>
    <definedName name="CustomerDrawingOption" localSheetId="8">Reference!$D$15</definedName>
    <definedName name="CustomerDrawingOption">'Cable Harness Configuration'!$D$15</definedName>
    <definedName name="CustomerNumber" localSheetId="8">Reference!$D$7</definedName>
    <definedName name="CustomerNumber">'Cable Harness Configuration'!$D$7</definedName>
    <definedName name="Drawing_Title">'Cable Harness Configuration'!$D$18</definedName>
    <definedName name="DrawingNotes" localSheetId="8">Reference!$D$12</definedName>
    <definedName name="DrawingNotes">'Cable Harness Configuration'!$D$12</definedName>
    <definedName name="DrawingOptionList" localSheetId="8">#REF!</definedName>
    <definedName name="DrawingOptionList">#REF!</definedName>
    <definedName name="DrawingSize" localSheetId="8">Reference!$D$11</definedName>
    <definedName name="DrawingSize">'Cable Harness Configuration'!$D$11</definedName>
    <definedName name="DrawingSizeList" localSheetId="8">#REF!</definedName>
    <definedName name="DrawingSizeList">#REF!</definedName>
    <definedName name="Drawn_By">'Cable Harness Configuration'!$D$19</definedName>
    <definedName name="Drawn_Date">'Cable Harness Configuration'!$D$22</definedName>
    <definedName name="Drawn_Dtae">'Cable Harness Configuration'!$D$22</definedName>
    <definedName name="DrawNoteList" localSheetId="8">#REF!</definedName>
    <definedName name="DrawNoteList">#REF!</definedName>
    <definedName name="DustCov_Desc" localSheetId="8">#REF!</definedName>
    <definedName name="DustCov_Desc">#REF!</definedName>
    <definedName name="DustCov_MdlName" localSheetId="8">#REF!</definedName>
    <definedName name="DustCov_MdlName">#REF!</definedName>
    <definedName name="DustCov_PN" localSheetId="8">#REF!</definedName>
    <definedName name="DustCov_PN">#REF!</definedName>
    <definedName name="DustCov_Size" localSheetId="8">#REF!</definedName>
    <definedName name="DustCov_Size">#REF!</definedName>
    <definedName name="DustCoverDesc">'P-DRAWING BOM'!$D$16</definedName>
    <definedName name="DustCoverMdlName">'P-DRAWING BOM'!$C$16</definedName>
    <definedName name="DustCoverPN">'P-DRAWING BOM'!$B$16</definedName>
    <definedName name="HarnessLengthD1" localSheetId="8">Reference!$D$30</definedName>
    <definedName name="HarnessLengthD1">'Cable Harness Configuration'!$D$30</definedName>
    <definedName name="HarnessLengthD2" localSheetId="8">Reference!$D$31</definedName>
    <definedName name="HarnessLengthD2">'Cable Harness Configuration'!$D$31</definedName>
    <definedName name="HarnessLengthD3" localSheetId="8">Reference!$D$32</definedName>
    <definedName name="HarnessLengthD3">'Cable Harness Configuration'!$D$32</definedName>
    <definedName name="HarnessLengthD4" localSheetId="8">Reference!$D$33</definedName>
    <definedName name="HarnessLengthD4">'Cable Harness Configuration'!$D$33</definedName>
    <definedName name="Insert_1PP" localSheetId="8">#REF!</definedName>
    <definedName name="Insert_1PP">#REF!</definedName>
    <definedName name="Insert_1PR" localSheetId="8">#REF!</definedName>
    <definedName name="Insert_1PR">#REF!</definedName>
    <definedName name="Insert_1SP" localSheetId="8">#REF!</definedName>
    <definedName name="Insert_1SP">#REF!</definedName>
    <definedName name="Insert_1SR" localSheetId="8">#REF!</definedName>
    <definedName name="Insert_1SR">#REF!</definedName>
    <definedName name="Insert_23PP" localSheetId="8">#REF!</definedName>
    <definedName name="Insert_23PP">#REF!</definedName>
    <definedName name="Insert_23PR" localSheetId="8">#REF!</definedName>
    <definedName name="Insert_23PR">#REF!</definedName>
    <definedName name="Insert_23SP" localSheetId="8">#REF!</definedName>
    <definedName name="Insert_23SP">#REF!</definedName>
    <definedName name="Insert_23SR" localSheetId="8">#REF!</definedName>
    <definedName name="Insert_23SR">#REF!</definedName>
    <definedName name="Inserts" localSheetId="8">#REF!</definedName>
    <definedName name="Inserts">#REF!</definedName>
    <definedName name="InsertsTable" localSheetId="8">'General Lists'!#REF!</definedName>
    <definedName name="InsertsTable">'General Lists'!#REF!</definedName>
    <definedName name="KeyingTable" localSheetId="8">'General Lists'!#REF!</definedName>
    <definedName name="KeyingTable">'General Lists'!#REF!</definedName>
    <definedName name="KeyKeyWayDesc">'P-DRAWING BOM'!$D$3</definedName>
    <definedName name="KeyKeyWayMdlName">'P-DRAWING BOM'!$C$3</definedName>
    <definedName name="KeyKeyWayPN">'P-DRAWING BOM'!$B$3</definedName>
    <definedName name="KeyKeyWayPNB3">'P-DRAWING BOM'!$B$3</definedName>
    <definedName name="KeyPosition_Keying" localSheetId="8">#REF!</definedName>
    <definedName name="KeyPosition_Keying">#REF!</definedName>
    <definedName name="KeyPosition_PlugCenter" localSheetId="8">#REF!</definedName>
    <definedName name="KeyPosition_PlugCenter">#REF!</definedName>
    <definedName name="KeyPosition_PlugLeft" localSheetId="8">#REF!</definedName>
    <definedName name="KeyPosition_PlugLeft">#REF!</definedName>
    <definedName name="KeyPosition_PlugRight" localSheetId="8">#REF!</definedName>
    <definedName name="KeyPosition_PlugRight">#REF!</definedName>
    <definedName name="KeyPosition_RecptCenter" localSheetId="8">#REF!</definedName>
    <definedName name="KeyPosition_RecptCenter">#REF!</definedName>
    <definedName name="KeyPosition_RecptLeft" localSheetId="8">#REF!</definedName>
    <definedName name="KeyPosition_RecptLeft">#REF!</definedName>
    <definedName name="KeyPosition_RecptRight" localSheetId="8">#REF!</definedName>
    <definedName name="KeyPosition_RecptRight">#REF!</definedName>
    <definedName name="KeyPostDesc">'P-DRAWING BOM'!$D$4</definedName>
    <definedName name="KeyPostMdlName">'P-DRAWING BOM'!$C$4</definedName>
    <definedName name="KeyPostModelName">'P-DRAWING BOM'!$C$4</definedName>
    <definedName name="KeyPostPN">'P-DRAWING BOM'!$B$4</definedName>
    <definedName name="KeyRetainerDesc">'P-DRAWING BOM'!$D$2</definedName>
    <definedName name="KeyRetainerMdlName">'P-DRAWING BOM'!$C$2</definedName>
    <definedName name="KeyRetainerPN">'P-DRAWING BOM'!$B$2</definedName>
    <definedName name="KeyScrewDesc">'P-DRAWING BOM'!$D$5</definedName>
    <definedName name="KeyScrewMdlName">'P-DRAWING BOM'!$C$5</definedName>
    <definedName name="KeyScrewPN">'P-DRAWING BOM'!$B$5</definedName>
    <definedName name="LABEL_PART">'MODEL BOM'!$L$1</definedName>
    <definedName name="LABEL_SEARCH_COLUMN">'MODEL BOM'!$CC$1</definedName>
    <definedName name="MountHole_Column" localSheetId="8">INDEX(#REF!,,Reference!MountHole_Column_Selected)</definedName>
    <definedName name="MountHole_Column">INDEX(#REF!,,MountHole_Column_Selected)</definedName>
    <definedName name="MountHole_Column_Selected" localSheetId="8">MATCH(Reference!NumberOfPosition,Reference!MountHole_DropDown_Choices,0)</definedName>
    <definedName name="MountHole_Column_Selected">MATCH(NumberOfPosition,MountHole_DropDown_Choices,0)</definedName>
    <definedName name="MountHole_DropDown_Choices" localSheetId="8">#REF!</definedName>
    <definedName name="MountHole_DropDown_Choices">#REF!</definedName>
    <definedName name="MountHoles_Selection_Choices" localSheetId="8">INDEX(#REF!,1,Reference!MountHole_Column_Selected) : INDEX(#REF!,COUNTA(Reference!MountHole_Column),Reference!MountHole_Column_Selected)</definedName>
    <definedName name="MountHoles_Selection_Choices">INDEX(#REF!,1,MountHole_Column_Selected) : INDEX(#REF!,COUNTA(MountHole_Column),MountHole_Column_Selected)</definedName>
    <definedName name="MountSize_Column" localSheetId="8">INDEX(#REF!,,Reference!MountHole_Column_Selected)</definedName>
    <definedName name="MountSize_Column">INDEX(#REF!,,MountHole_Column_Selected)</definedName>
    <definedName name="MountSize_Selection_Choices" localSheetId="8">INDEX(#REF!,1,Reference!MountHole_Column_Selected) : INDEX(#REF!,COUNTA(Reference!MountSize_Column),Reference!MountHole_Column_Selected)</definedName>
    <definedName name="MountSize_Selection_Choices">INDEX(#REF!,1,MountHole_Column_Selected) : INDEX(#REF!,COUNTA(MountSize_Column),MountHole_Column_Selected)</definedName>
    <definedName name="Multiple_Conn_search_Column">'MODEL BOM'!$CI$1</definedName>
    <definedName name="MULTIPLE_CONNECTOR1">'MODEL BOM'!$M$1</definedName>
    <definedName name="NameCheck" localSheetId="8">OFFSET(#REF!,0,0,COUNT(#REF!),1)</definedName>
    <definedName name="NameCheck">OFFSET(#REF!,0,0,COUNT(#REF!),1)</definedName>
    <definedName name="NumberOfPosition" localSheetId="8">Reference!$D$29</definedName>
    <definedName name="NumberOfPosition">'Cable Harness Configuration'!$D$29</definedName>
    <definedName name="NumberOfPositionList" localSheetId="8">#REF!</definedName>
    <definedName name="NumberOfPositionList">#REF!</definedName>
    <definedName name="PackingNote" localSheetId="8">Reference!$D$13</definedName>
    <definedName name="PackingNote">'Cable Harness Configuration'!$D$13</definedName>
    <definedName name="PackingNoteList" localSheetId="8">#REF!</definedName>
    <definedName name="PackingNoteList">#REF!</definedName>
    <definedName name="Plating_Column" localSheetId="8">INDEX(#REF!,,Reference!Plating_Column_Selected)</definedName>
    <definedName name="Plating_Column">INDEX(#REF!,,Plating_Column_Selected)</definedName>
    <definedName name="Plating_Column_Selected" localSheetId="8">MATCH(Reference!HarnessLengthD1,Reference!Plating_DropDown_Choices,0)</definedName>
    <definedName name="Plating_Column_Selected">MATCH(HarnessLengthD1,Plating_DropDown_Choices,0)</definedName>
    <definedName name="Plating_DropDown_Choices" localSheetId="8">#REF!</definedName>
    <definedName name="Plating_DropDown_Choices">#REF!</definedName>
    <definedName name="Plating_Selection_Choices" localSheetId="8">INDEX(#REF!,1,Reference!Plating_Column_Selected) : INDEX(#REF!,COUNTA(Reference!Plating_Column),Reference!Plating_Column_Selected)</definedName>
    <definedName name="Plating_Selection_Choices">INDEX(#REF!,1,Plating_Column_Selected) : INDEX(#REF!,COUNTA(Plating_Column),Plating_Column_Selected)</definedName>
    <definedName name="PlugCenterKeyPos">'P-DRAWING BOM'!$C$29</definedName>
    <definedName name="PlugLeftKeyPos">'P-DRAWING BOM'!$C$27</definedName>
    <definedName name="PlugRightKeyPos">'P-DRAWING BOM'!$C$28</definedName>
    <definedName name="Position_General">#REF!</definedName>
    <definedName name="Qty" localSheetId="8">Reference!$D$45</definedName>
    <definedName name="Qty">'Cable Harness Configuration'!$D$45</definedName>
    <definedName name="RecptCenterKeyPos">'P-DRAWING BOM'!$B$29</definedName>
    <definedName name="RecptLeftKeyPos">'P-DRAWING BOM'!$B$27</definedName>
    <definedName name="RecptPlug_Column" localSheetId="8">INDEX(#REF!,,Reference!RecptPlug_Column_Selected)</definedName>
    <definedName name="RecptPlug_Column">INDEX(#REF!,,RecptPlug_Column_Selected)</definedName>
    <definedName name="RecptPlug_Column_Selected" localSheetId="8">MATCH(Reference!NumberOfPosition,Reference!RecptPlug_DropDown_Choices,0)</definedName>
    <definedName name="RecptPlug_Column_Selected">MATCH(NumberOfPosition,RecptPlug_DropDown_Choices,0)</definedName>
    <definedName name="RecptPlug_DropDown_Choices" localSheetId="8">#REF!</definedName>
    <definedName name="RecptPlug_DropDown_Choices">#REF!</definedName>
    <definedName name="RecptPlug_Selection_Choices" localSheetId="8">INDEX(#REF!,1,Reference!RecptPlug_Column_Selected) : INDEX(#REF!,COUNTA(Reference!RecptPlug_Column),Reference!RecptPlug_Column_Selected)</definedName>
    <definedName name="RecptPlug_Selection_Choices">INDEX(#REF!,1,RecptPlug_Column_Selected) : INDEX(#REF!,COUNTA(RecptPlug_Column),RecptPlug_Column_Selected)</definedName>
    <definedName name="RecptRightKeyPos">'P-DRAWING BOM'!$B$28</definedName>
    <definedName name="region" localSheetId="8">'General Lists'!#REF!</definedName>
    <definedName name="region">'General Lists'!#REF!</definedName>
    <definedName name="RetainerPCDesc">'P-DRAWING BOM'!$D$13</definedName>
    <definedName name="RetainerPCMdlName">'P-DRAWING BOM'!$C$13</definedName>
    <definedName name="RetainerPCPN">'P-DRAWING BOM'!$B$13</definedName>
    <definedName name="RetainerPLDesc">'P-DRAWING BOM'!$D$12</definedName>
    <definedName name="RetainerPLMdlName">'P-DRAWING BOM'!$C$12</definedName>
    <definedName name="RetainerPLModelName">'P-DRAWING BOM'!$C$12</definedName>
    <definedName name="RetainerPLPN">'P-DRAWING BOM'!$B$12</definedName>
    <definedName name="RetainerPRDesc">'P-DRAWING BOM'!$D$11</definedName>
    <definedName name="RetainerPRMdlName">'P-DRAWING BOM'!$C$11</definedName>
    <definedName name="RetainerPRModelName">'P-DRAWING BOM'!$C$11</definedName>
    <definedName name="RetainerPRPN">'P-DRAWING BOM'!$B$11</definedName>
    <definedName name="RetainerSCDesc">'P-DRAWING BOM'!$D$10</definedName>
    <definedName name="RetainerSCMdlName">'P-DRAWING BOM'!$C$10</definedName>
    <definedName name="RetainerSCModelName">'P-DRAWING BOM'!$C$10</definedName>
    <definedName name="RetainerSCPN">'P-DRAWING BOM'!$B$10</definedName>
    <definedName name="RetainerScrewDesc">'P-DRAWING BOM'!$D$14</definedName>
    <definedName name="RetainerScrewMdlName">'P-DRAWING BOM'!$C$14</definedName>
    <definedName name="RetainerScrewPN">'P-DRAWING BOM'!$B$14</definedName>
    <definedName name="RetainerSLDesc">'P-DRAWING BOM'!$D$9</definedName>
    <definedName name="RetainerSLMdlName">'P-DRAWING BOM'!$C$9</definedName>
    <definedName name="RetainerSLPN">'P-DRAWING BOM'!$B$9</definedName>
    <definedName name="RetainerSRDesc">'P-DRAWING BOM'!$D$8</definedName>
    <definedName name="RetainerSRMdlName">'P-DRAWING BOM'!$C$8</definedName>
    <definedName name="RetainerSRPN">'P-DRAWING BOM'!$B$8</definedName>
    <definedName name="RetPltPwrC_Desc" localSheetId="8">#REF!</definedName>
    <definedName name="RetPltPwrC_Desc">#REF!</definedName>
    <definedName name="RetPltPwrC_MdlName" localSheetId="8">#REF!</definedName>
    <definedName name="RetPltPwrC_MdlName">#REF!</definedName>
    <definedName name="RetPltPwrC_Plating" localSheetId="8">#REF!</definedName>
    <definedName name="RetPltPwrC_Plating">#REF!</definedName>
    <definedName name="RetPltPwrC_PN" localSheetId="8">#REF!</definedName>
    <definedName name="RetPltPwrC_PN">#REF!</definedName>
    <definedName name="RetPltPwrC_Size" localSheetId="8">#REF!</definedName>
    <definedName name="RetPltPwrC_Size">#REF!</definedName>
    <definedName name="RetPltPwrL_Desc" localSheetId="8">#REF!</definedName>
    <definedName name="RetPltPwrL_Desc">#REF!</definedName>
    <definedName name="RetPltPwrL_MdlName" localSheetId="8">#REF!</definedName>
    <definedName name="RetPltPwrL_MdlName">#REF!</definedName>
    <definedName name="RetPltPwrL_Plating" localSheetId="8">#REF!</definedName>
    <definedName name="RetPltPwrL_Plating">#REF!</definedName>
    <definedName name="RetPltPwrL_PN" localSheetId="8">#REF!</definedName>
    <definedName name="RetPltPwrL_PN">#REF!</definedName>
    <definedName name="RetPltPwrL_Size" localSheetId="8">#REF!</definedName>
    <definedName name="RetPltPwrL_Size">#REF!</definedName>
    <definedName name="RetPltPwrL_Type" localSheetId="8">#REF!</definedName>
    <definedName name="RetPltPwrL_Type">#REF!</definedName>
    <definedName name="RetPltPwrR_Desc" localSheetId="8">#REF!</definedName>
    <definedName name="RetPltPwrR_Desc">#REF!</definedName>
    <definedName name="RetPltPwrR_MdlName" localSheetId="8">#REF!</definedName>
    <definedName name="RetPltPwrR_MdlName">#REF!</definedName>
    <definedName name="RetPltPwrR_Plating" localSheetId="8">#REF!</definedName>
    <definedName name="RetPltPwrR_Plating">#REF!</definedName>
    <definedName name="RetPltPwrR_PN" localSheetId="8">#REF!</definedName>
    <definedName name="RetPltPwrR_PN">#REF!</definedName>
    <definedName name="RetPltPwrR_Size" localSheetId="8">#REF!</definedName>
    <definedName name="RetPltPwrR_Size">#REF!</definedName>
    <definedName name="RetPltPwrR_Type" localSheetId="8">#REF!</definedName>
    <definedName name="RetPltPwrR_Type">#REF!</definedName>
    <definedName name="RetPltSglC_Desc" localSheetId="8">#REF!</definedName>
    <definedName name="RetPltSglC_Desc">#REF!</definedName>
    <definedName name="RetPltSglC_MdlName" localSheetId="8">#REF!</definedName>
    <definedName name="RetPltSglC_MdlName">#REF!</definedName>
    <definedName name="RetPltSglC_Plating" localSheetId="8">#REF!</definedName>
    <definedName name="RetPltSglC_Plating">#REF!</definedName>
    <definedName name="RetPltSglC_PN" localSheetId="8">#REF!</definedName>
    <definedName name="RetPltSglC_PN">#REF!</definedName>
    <definedName name="RetPltSglC_Size" localSheetId="8">#REF!</definedName>
    <definedName name="RetPltSglC_Size">#REF!</definedName>
    <definedName name="RetPltSglL__Desc" localSheetId="8">#REF!</definedName>
    <definedName name="RetPltSglL__Desc">#REF!</definedName>
    <definedName name="RetPltSglL_Desc" localSheetId="8">#REF!</definedName>
    <definedName name="RetPltSglL_Desc">#REF!</definedName>
    <definedName name="RetPltSglL_MdlName" localSheetId="8">#REF!</definedName>
    <definedName name="RetPltSglL_MdlName">#REF!</definedName>
    <definedName name="RetPltSglL_Plating" localSheetId="8">#REF!</definedName>
    <definedName name="RetPltSglL_Plating">#REF!</definedName>
    <definedName name="RetPltSglL_PN" localSheetId="8">#REF!</definedName>
    <definedName name="RetPltSglL_PN">#REF!</definedName>
    <definedName name="RetPltSglL_Size" localSheetId="8">#REF!</definedName>
    <definedName name="RetPltSglL_Size">#REF!</definedName>
    <definedName name="RetPltSglL_Type" localSheetId="8">#REF!</definedName>
    <definedName name="RetPltSglL_Type">#REF!</definedName>
    <definedName name="RetPltSglR_Desc" localSheetId="8">#REF!</definedName>
    <definedName name="RetPltSglR_Desc">#REF!</definedName>
    <definedName name="RetPltSglR_MdlName" localSheetId="8">#REF!</definedName>
    <definedName name="RetPltSglR_MdlName">#REF!</definedName>
    <definedName name="RetPltSglR_Plating" localSheetId="8">#REF!</definedName>
    <definedName name="RetPltSglR_Plating">#REF!</definedName>
    <definedName name="RetPltSglR_PN" localSheetId="8">#REF!</definedName>
    <definedName name="RetPltSglR_PN">#REF!</definedName>
    <definedName name="RetPltSglR_Size" localSheetId="8">#REF!</definedName>
    <definedName name="RetPltSglR_Size">#REF!</definedName>
    <definedName name="RetPltSglR_Type" localSheetId="8">#REF!</definedName>
    <definedName name="RetPltSglR_Type">#REF!</definedName>
    <definedName name="RetScrews_Desc" localSheetId="8">#REF!</definedName>
    <definedName name="RetScrews_Desc">#REF!</definedName>
    <definedName name="RetScrews_MdlName" localSheetId="8">#REF!</definedName>
    <definedName name="RetScrews_MdlName">#REF!</definedName>
    <definedName name="RetScrews_PN" localSheetId="8">#REF!</definedName>
    <definedName name="RetScrews_PN">#REF!</definedName>
    <definedName name="RetScrews_Size" localSheetId="8">#REF!</definedName>
    <definedName name="RetScrews_Size">#REF!</definedName>
    <definedName name="RetScrews_Type" localSheetId="8">#REF!</definedName>
    <definedName name="RetScrews_Type">#REF!</definedName>
    <definedName name="SELECTED_CABLE_TYPE">'General Lists'!$CA$1</definedName>
    <definedName name="SELECTED_MULTI_CONN_SIDE">'General Lists'!$CC$1</definedName>
    <definedName name="SELECTED_NO_OF_CBALES">'General Lists'!$CB$1</definedName>
    <definedName name="SELECTED_SIDE">'General Lists'!$CC$1</definedName>
    <definedName name="Shell_Desc" localSheetId="8">#REF!</definedName>
    <definedName name="Shell_Desc">#REF!</definedName>
    <definedName name="Shell_MdlName" localSheetId="8">#REF!</definedName>
    <definedName name="Shell_MdlName">#REF!</definedName>
    <definedName name="Shell_MntQty" localSheetId="8">#REF!</definedName>
    <definedName name="Shell_MntQty">#REF!</definedName>
    <definedName name="Shell_MntSize" localSheetId="8">#REF!</definedName>
    <definedName name="Shell_MntSize">#REF!</definedName>
    <definedName name="Shell_Plating" localSheetId="8">#REF!</definedName>
    <definedName name="Shell_Plating">#REF!</definedName>
    <definedName name="Shell_PN" localSheetId="8">#REF!</definedName>
    <definedName name="Shell_PN">#REF!</definedName>
    <definedName name="Shell_Size" localSheetId="8">#REF!</definedName>
    <definedName name="Shell_Size">#REF!</definedName>
    <definedName name="Shell_Type" localSheetId="8">#REF!</definedName>
    <definedName name="Shell_Type">#REF!</definedName>
    <definedName name="ShellDesc">'P-DRAWING BOM'!$D$7</definedName>
    <definedName name="ShellMdlName">'P-DRAWING BOM'!$C$7</definedName>
    <definedName name="ShellPN">'P-DRAWING BOM'!$B$7</definedName>
    <definedName name="Single_to_Single" localSheetId="8">OFFSET(#REF!,0,0,COUNTA(#REF!)-1,1)</definedName>
    <definedName name="Single_to_Single">OFFSET(#REF!,0,0,COUNTA(#REF!)-1,1)</definedName>
    <definedName name="TapePitch" localSheetId="8">Reference!$G$8</definedName>
    <definedName name="TapePitch">'Cable Harness Configuration'!$G$8</definedName>
    <definedName name="TapeStartDistance" localSheetId="8">Reference!$G$7</definedName>
    <definedName name="TapeStartDistance">'Cable Harness Configuration'!$G$7</definedName>
    <definedName name="TapeYesNo" localSheetId="8">Reference!$G$6</definedName>
    <definedName name="TapeYesNo">'Cable Harness Configuration'!$G$6</definedName>
    <definedName name="tblClassList" localSheetId="8">#REF!</definedName>
    <definedName name="tblClassList">#REF!</definedName>
    <definedName name="tblKeyingList" localSheetId="8">#REF!</definedName>
    <definedName name="tblKeyingList">#REF!</definedName>
    <definedName name="tblProductList" localSheetId="8">#REF!</definedName>
    <definedName name="tblProductList">#REF!</definedName>
    <definedName name="TrackDesign" localSheetId="8">Reference!#REF!</definedName>
    <definedName name="TrackDesign">'Cable Harness Configuration'!#REF!</definedName>
    <definedName name="WireDiamenterW1" localSheetId="8">Reference!$D$39</definedName>
    <definedName name="WireDiamenterW1">'Cable Harness Configuration'!$D$39</definedName>
    <definedName name="WireDiamenterW2" localSheetId="8">Reference!$D$40</definedName>
    <definedName name="WireDiamenterW2">'Cable Harness Configuration'!$D$40</definedName>
    <definedName name="WireDiamenterW3" localSheetId="8">Reference!$D$41</definedName>
    <definedName name="WireDiamenterW3">'Cable Harness Configuration'!$D$41</definedName>
    <definedName name="WireDiamenterW4" localSheetId="8">Reference!$D$42</definedName>
    <definedName name="WireDiamenterW4">'Cable Harness Configuration'!$D$42</definedName>
    <definedName name="WireRouteList" localSheetId="8">#REF!</definedName>
    <definedName name="WireRouteList">#REF!</definedName>
    <definedName name="WireTwistLength" localSheetId="8">Reference!$D$38</definedName>
    <definedName name="WireTwistLength">'Cable Harness Configuration'!$D$38</definedName>
    <definedName name="WireTwistPitch" localSheetId="8">Reference!$D$37</definedName>
    <definedName name="WireTwistPitch">'Cable Harness Configuration'!$D$37</definedName>
    <definedName name="WireTwistType" localSheetId="8">Reference!$D$36</definedName>
    <definedName name="WireTwistType">'Cable Harness Configuration'!$D$36</definedName>
    <definedName name="WireTwistTypeList" localSheetId="8">#REF!</definedName>
    <definedName name="WireTwistTypeList">#REF!</definedName>
    <definedName name="YesAndNo" localSheetId="8">#REF!</definedName>
    <definedName name="YesAndNo">#REF!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G1" i="3" l="1"/>
  <c r="CE1" i="3"/>
  <c r="CC1" i="3"/>
  <c r="CA1" i="3"/>
  <c r="CF5" i="8"/>
  <c r="DG1" i="8"/>
  <c r="A358" i="5"/>
  <c r="A357" i="5"/>
  <c r="A356" i="5"/>
  <c r="A355" i="5"/>
  <c r="A354" i="5"/>
  <c r="A353" i="5"/>
  <c r="A352" i="5"/>
  <c r="A351" i="5"/>
  <c r="A350" i="5"/>
  <c r="A349" i="5"/>
  <c r="A348" i="5"/>
  <c r="A347" i="5"/>
  <c r="A346" i="5"/>
  <c r="A345" i="5"/>
  <c r="A344" i="5"/>
  <c r="A343" i="5"/>
  <c r="A342" i="5"/>
  <c r="A341" i="5"/>
  <c r="A340" i="5"/>
  <c r="A339" i="5"/>
  <c r="A338" i="5"/>
  <c r="A337" i="5"/>
  <c r="A336" i="5"/>
  <c r="A335" i="5"/>
  <c r="A334" i="5"/>
  <c r="A333" i="5"/>
  <c r="A332" i="5"/>
  <c r="A331" i="5"/>
  <c r="A330" i="5"/>
  <c r="A329" i="5"/>
  <c r="A328" i="5"/>
  <c r="A327" i="5"/>
  <c r="A326" i="5"/>
  <c r="A325" i="5"/>
  <c r="A324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A305" i="5"/>
  <c r="A304" i="5"/>
  <c r="A303" i="5"/>
  <c r="A302" i="5"/>
  <c r="A301" i="5"/>
  <c r="A300" i="5"/>
  <c r="A299" i="5"/>
  <c r="A298" i="5"/>
  <c r="A297" i="5"/>
  <c r="A296" i="5"/>
  <c r="A295" i="5"/>
  <c r="A294" i="5"/>
  <c r="A293" i="5"/>
  <c r="A292" i="5"/>
  <c r="A291" i="5"/>
  <c r="A290" i="5"/>
  <c r="A289" i="5"/>
  <c r="A288" i="5"/>
  <c r="A287" i="5"/>
  <c r="A286" i="5"/>
  <c r="A285" i="5"/>
  <c r="A284" i="5"/>
  <c r="A283" i="5"/>
  <c r="A282" i="5"/>
  <c r="A281" i="5"/>
  <c r="A280" i="5"/>
  <c r="A279" i="5"/>
  <c r="A278" i="5"/>
  <c r="A277" i="5"/>
  <c r="A276" i="5"/>
  <c r="A275" i="5"/>
  <c r="A274" i="5"/>
  <c r="A273" i="5"/>
  <c r="A272" i="5"/>
  <c r="A271" i="5"/>
  <c r="A270" i="5"/>
  <c r="A269" i="5"/>
  <c r="A268" i="5"/>
  <c r="A267" i="5"/>
  <c r="A266" i="5"/>
  <c r="A265" i="5"/>
  <c r="A264" i="5"/>
  <c r="A263" i="5"/>
  <c r="A262" i="5"/>
  <c r="A261" i="5"/>
  <c r="A260" i="5"/>
  <c r="A259" i="5"/>
  <c r="A258" i="5"/>
  <c r="A257" i="5"/>
  <c r="A256" i="5"/>
  <c r="A255" i="5"/>
  <c r="A254" i="5"/>
  <c r="A253" i="5"/>
  <c r="A252" i="5"/>
  <c r="A251" i="5"/>
  <c r="A250" i="5"/>
  <c r="A249" i="5"/>
  <c r="A248" i="5"/>
  <c r="A247" i="5"/>
  <c r="A246" i="5"/>
  <c r="A245" i="5"/>
  <c r="A244" i="5"/>
  <c r="A243" i="5"/>
  <c r="A242" i="5"/>
  <c r="A241" i="5"/>
  <c r="A240" i="5"/>
  <c r="A239" i="5"/>
  <c r="A238" i="5"/>
  <c r="A237" i="5"/>
  <c r="A236" i="5"/>
  <c r="A235" i="5"/>
  <c r="A234" i="5"/>
  <c r="A233" i="5"/>
  <c r="A232" i="5"/>
  <c r="A231" i="5"/>
  <c r="A230" i="5"/>
  <c r="A229" i="5"/>
  <c r="A228" i="5"/>
  <c r="A227" i="5"/>
  <c r="A226" i="5"/>
  <c r="A225" i="5"/>
  <c r="A224" i="5"/>
  <c r="A223" i="5"/>
  <c r="A222" i="5"/>
  <c r="A221" i="5"/>
  <c r="A220" i="5"/>
  <c r="A219" i="5"/>
  <c r="A218" i="5"/>
  <c r="A217" i="5"/>
  <c r="A216" i="5"/>
  <c r="A215" i="5"/>
  <c r="A214" i="5"/>
  <c r="A213" i="5"/>
  <c r="A212" i="5"/>
  <c r="A211" i="5"/>
  <c r="A210" i="5"/>
  <c r="A209" i="5"/>
  <c r="A208" i="5"/>
  <c r="A207" i="5"/>
  <c r="A206" i="5"/>
  <c r="A205" i="5"/>
  <c r="A204" i="5"/>
  <c r="A203" i="5"/>
  <c r="A202" i="5"/>
  <c r="A201" i="5"/>
  <c r="A200" i="5"/>
  <c r="A199" i="5"/>
  <c r="A198" i="5"/>
  <c r="A197" i="5"/>
  <c r="A196" i="5"/>
  <c r="A195" i="5"/>
  <c r="A194" i="5"/>
  <c r="A193" i="5"/>
  <c r="A192" i="5"/>
  <c r="A191" i="5"/>
  <c r="A190" i="5"/>
  <c r="A189" i="5"/>
  <c r="A188" i="5"/>
  <c r="A187" i="5"/>
  <c r="A186" i="5"/>
  <c r="A185" i="5"/>
  <c r="A184" i="5"/>
  <c r="A183" i="5"/>
  <c r="A182" i="5"/>
  <c r="A181" i="5"/>
  <c r="A180" i="5"/>
  <c r="A179" i="5"/>
  <c r="A178" i="5"/>
  <c r="A177" i="5"/>
  <c r="A176" i="5"/>
  <c r="A175" i="5"/>
  <c r="A174" i="5"/>
  <c r="A173" i="5"/>
  <c r="A172" i="5"/>
  <c r="A171" i="5"/>
  <c r="A170" i="5"/>
  <c r="A169" i="5"/>
  <c r="A168" i="5"/>
  <c r="A167" i="5"/>
  <c r="A166" i="5"/>
  <c r="A165" i="5"/>
  <c r="A164" i="5"/>
  <c r="A163" i="5"/>
  <c r="A162" i="5"/>
  <c r="A161" i="5"/>
  <c r="A160" i="5"/>
  <c r="A159" i="5"/>
  <c r="A158" i="5"/>
  <c r="A157" i="5"/>
  <c r="A156" i="5"/>
  <c r="A155" i="5"/>
  <c r="A154" i="5"/>
  <c r="A153" i="5"/>
  <c r="A152" i="5"/>
  <c r="A151" i="5"/>
  <c r="A150" i="5"/>
  <c r="A149" i="5"/>
  <c r="A148" i="5"/>
  <c r="A147" i="5"/>
  <c r="A146" i="5"/>
  <c r="A145" i="5"/>
  <c r="A144" i="5"/>
  <c r="A143" i="5"/>
  <c r="A142" i="5"/>
  <c r="A141" i="5"/>
  <c r="A140" i="5"/>
  <c r="A139" i="5"/>
  <c r="A138" i="5"/>
  <c r="A137" i="5"/>
  <c r="A136" i="5"/>
  <c r="A135" i="5"/>
  <c r="A134" i="5"/>
  <c r="A133" i="5"/>
  <c r="A132" i="5"/>
  <c r="A131" i="5"/>
  <c r="A130" i="5"/>
  <c r="A129" i="5"/>
  <c r="A128" i="5"/>
  <c r="A127" i="5"/>
  <c r="A126" i="5"/>
  <c r="A125" i="5"/>
  <c r="A124" i="5"/>
  <c r="A123" i="5"/>
  <c r="A122" i="5"/>
  <c r="A121" i="5"/>
  <c r="A120" i="5"/>
  <c r="A119" i="5"/>
  <c r="A118" i="5"/>
  <c r="A117" i="5"/>
  <c r="A116" i="5"/>
  <c r="A115" i="5"/>
  <c r="A114" i="5"/>
  <c r="A113" i="5"/>
  <c r="A112" i="5"/>
  <c r="A111" i="5"/>
  <c r="A110" i="5"/>
  <c r="A109" i="5"/>
  <c r="A108" i="5"/>
  <c r="A107" i="5"/>
  <c r="A106" i="5"/>
  <c r="A105" i="5"/>
  <c r="A104" i="5"/>
  <c r="A103" i="5"/>
  <c r="A102" i="5"/>
  <c r="A101" i="5"/>
  <c r="A100" i="5"/>
  <c r="A99" i="5"/>
  <c r="A98" i="5"/>
  <c r="A97" i="5"/>
  <c r="A96" i="5"/>
  <c r="A95" i="5"/>
  <c r="A94" i="5"/>
  <c r="A93" i="5"/>
  <c r="A92" i="5"/>
  <c r="A91" i="5"/>
  <c r="A90" i="5"/>
  <c r="A89" i="5"/>
  <c r="A88" i="5"/>
  <c r="A87" i="5"/>
  <c r="A86" i="5"/>
  <c r="A85" i="5"/>
  <c r="A84" i="5"/>
  <c r="A83" i="5"/>
  <c r="A82" i="5"/>
  <c r="A81" i="5"/>
  <c r="A80" i="5"/>
  <c r="A79" i="5"/>
  <c r="A78" i="5"/>
  <c r="A77" i="5"/>
  <c r="A76" i="5"/>
  <c r="A75" i="5"/>
  <c r="A74" i="5"/>
  <c r="A73" i="5"/>
  <c r="A72" i="5"/>
  <c r="A71" i="5"/>
  <c r="A70" i="5"/>
  <c r="A69" i="5"/>
  <c r="A68" i="5"/>
  <c r="A67" i="5"/>
  <c r="A66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2" i="5"/>
  <c r="CI15" i="3"/>
  <c r="CG15" i="3"/>
  <c r="CE15" i="3"/>
  <c r="CC15" i="3"/>
  <c r="CA15" i="3"/>
  <c r="CI14" i="3"/>
  <c r="CG14" i="3"/>
  <c r="CE14" i="3"/>
  <c r="CC14" i="3"/>
  <c r="CA14" i="3"/>
  <c r="CI13" i="3"/>
  <c r="CG13" i="3"/>
  <c r="CE13" i="3"/>
  <c r="CC13" i="3"/>
  <c r="CA13" i="3"/>
  <c r="CI12" i="3"/>
  <c r="CG12" i="3"/>
  <c r="CE12" i="3"/>
  <c r="CC12" i="3"/>
  <c r="CA12" i="3"/>
  <c r="CI11" i="3"/>
  <c r="CG11" i="3"/>
  <c r="CE11" i="3"/>
  <c r="CC11" i="3"/>
  <c r="CA11" i="3"/>
  <c r="CI10" i="3"/>
  <c r="CG10" i="3"/>
  <c r="CE10" i="3"/>
  <c r="CC10" i="3"/>
  <c r="CA10" i="3"/>
  <c r="CI9" i="3"/>
  <c r="CG9" i="3"/>
  <c r="CE9" i="3"/>
  <c r="CC9" i="3"/>
  <c r="CA9" i="3"/>
  <c r="CI8" i="3"/>
  <c r="CG8" i="3"/>
  <c r="CE8" i="3"/>
  <c r="CC8" i="3"/>
  <c r="CA8" i="3"/>
  <c r="CI7" i="3"/>
  <c r="CG7" i="3"/>
  <c r="CE7" i="3"/>
  <c r="CC7" i="3"/>
  <c r="CA7" i="3"/>
  <c r="CI6" i="3"/>
  <c r="CG6" i="3"/>
  <c r="CE6" i="3"/>
  <c r="CC6" i="3"/>
  <c r="CA6" i="3"/>
  <c r="CI5" i="3"/>
  <c r="CG5" i="3"/>
  <c r="CE5" i="3"/>
  <c r="CC5" i="3"/>
  <c r="CA5" i="3"/>
  <c r="CI4" i="3"/>
  <c r="CG4" i="3"/>
  <c r="CE4" i="3"/>
  <c r="CC4" i="3"/>
  <c r="CA4" i="3"/>
  <c r="CI3" i="3"/>
  <c r="CG3" i="3"/>
  <c r="CE3" i="3"/>
  <c r="CC3" i="3"/>
  <c r="CA3" i="3"/>
  <c r="CI2" i="3"/>
  <c r="CG2" i="3"/>
  <c r="CE2" i="3"/>
  <c r="CC2" i="3"/>
  <c r="CA2" i="3"/>
  <c r="CX1" i="3"/>
  <c r="CW1" i="3"/>
  <c r="CV1" i="3"/>
  <c r="CZ1" i="3" s="1"/>
  <c r="DB1" i="3" s="1"/>
  <c r="CF44" i="1"/>
  <c r="CH44" i="1" s="1"/>
  <c r="CI44" i="1" s="1"/>
  <c r="CE44" i="1"/>
  <c r="CB44" i="1"/>
  <c r="CC44" i="1" s="1"/>
  <c r="CG44" i="1" s="1"/>
  <c r="CF43" i="1"/>
  <c r="CH43" i="1" s="1"/>
  <c r="CI43" i="1" s="1"/>
  <c r="CE43" i="1"/>
  <c r="CB43" i="1"/>
  <c r="CC43" i="1" s="1"/>
  <c r="CG43" i="1" s="1"/>
  <c r="CI42" i="1"/>
  <c r="CH42" i="1"/>
  <c r="CF42" i="1"/>
  <c r="CE42" i="1"/>
  <c r="CC42" i="1"/>
  <c r="CG42" i="1" s="1"/>
  <c r="CB42" i="1"/>
  <c r="CH41" i="1"/>
  <c r="CI41" i="1" s="1"/>
  <c r="CG41" i="1"/>
  <c r="CF41" i="1"/>
  <c r="CE41" i="1"/>
  <c r="CC41" i="1"/>
  <c r="CB41" i="1"/>
  <c r="CF40" i="1"/>
  <c r="CH40" i="1" s="1"/>
  <c r="CI40" i="1" s="1"/>
  <c r="CE40" i="1"/>
  <c r="CB40" i="1"/>
  <c r="CC40" i="1" s="1"/>
  <c r="CG40" i="1" s="1"/>
  <c r="CF39" i="1"/>
  <c r="CE39" i="1"/>
  <c r="CB39" i="1"/>
  <c r="CC39" i="1" s="1"/>
  <c r="CG39" i="1" s="1"/>
  <c r="CF38" i="1"/>
  <c r="CH38" i="1" s="1"/>
  <c r="CI38" i="1" s="1"/>
  <c r="CE38" i="1"/>
  <c r="CC38" i="1"/>
  <c r="CG38" i="1" s="1"/>
  <c r="CB38" i="1"/>
  <c r="CH37" i="1"/>
  <c r="CI37" i="1" s="1"/>
  <c r="CF37" i="1"/>
  <c r="CE37" i="1"/>
  <c r="CC37" i="1"/>
  <c r="CG37" i="1" s="1"/>
  <c r="CB37" i="1"/>
  <c r="CF36" i="1"/>
  <c r="CH36" i="1" s="1"/>
  <c r="CI36" i="1" s="1"/>
  <c r="CE36" i="1"/>
  <c r="CB36" i="1"/>
  <c r="CC36" i="1" s="1"/>
  <c r="CG36" i="1" s="1"/>
  <c r="CF35" i="1"/>
  <c r="CH35" i="1" s="1"/>
  <c r="CI35" i="1" s="1"/>
  <c r="CE35" i="1"/>
  <c r="CB35" i="1"/>
  <c r="CC35" i="1" s="1"/>
  <c r="CG35" i="1" s="1"/>
  <c r="CF34" i="1"/>
  <c r="CE34" i="1"/>
  <c r="CC34" i="1"/>
  <c r="CG34" i="1" s="1"/>
  <c r="CH34" i="1" s="1"/>
  <c r="CI34" i="1" s="1"/>
  <c r="CB34" i="1"/>
  <c r="CH33" i="1"/>
  <c r="CI33" i="1" s="1"/>
  <c r="CG33" i="1"/>
  <c r="CF33" i="1"/>
  <c r="CE33" i="1"/>
  <c r="CC33" i="1"/>
  <c r="CB33" i="1"/>
  <c r="CF32" i="1"/>
  <c r="CH32" i="1" s="1"/>
  <c r="CI32" i="1" s="1"/>
  <c r="CE32" i="1"/>
  <c r="CB32" i="1"/>
  <c r="CC32" i="1" s="1"/>
  <c r="CG32" i="1" s="1"/>
  <c r="CF31" i="1"/>
  <c r="CH31" i="1" s="1"/>
  <c r="CI31" i="1" s="1"/>
  <c r="CE31" i="1"/>
  <c r="CB31" i="1"/>
  <c r="CC31" i="1" s="1"/>
  <c r="CG31" i="1" s="1"/>
  <c r="CF30" i="1"/>
  <c r="CH30" i="1" s="1"/>
  <c r="CI30" i="1" s="1"/>
  <c r="CE30" i="1"/>
  <c r="CC30" i="1"/>
  <c r="CG30" i="1" s="1"/>
  <c r="CB30" i="1"/>
  <c r="CF29" i="1"/>
  <c r="CE29" i="1"/>
  <c r="CC29" i="1"/>
  <c r="CG29" i="1" s="1"/>
  <c r="CH29" i="1" s="1"/>
  <c r="CI29" i="1" s="1"/>
  <c r="CB29" i="1"/>
  <c r="CF28" i="1"/>
  <c r="CE28" i="1"/>
  <c r="CB28" i="1"/>
  <c r="CC28" i="1" s="1"/>
  <c r="CG28" i="1" s="1"/>
  <c r="CF27" i="1"/>
  <c r="CH27" i="1" s="1"/>
  <c r="CI27" i="1" s="1"/>
  <c r="CE27" i="1"/>
  <c r="CB27" i="1"/>
  <c r="CC27" i="1" s="1"/>
  <c r="CG27" i="1" s="1"/>
  <c r="CI26" i="1"/>
  <c r="CH26" i="1"/>
  <c r="CF26" i="1"/>
  <c r="CE26" i="1"/>
  <c r="CC26" i="1"/>
  <c r="CG26" i="1" s="1"/>
  <c r="CB26" i="1"/>
  <c r="CH25" i="1"/>
  <c r="CI25" i="1" s="1"/>
  <c r="CG25" i="1"/>
  <c r="CF25" i="1"/>
  <c r="CE25" i="1"/>
  <c r="CC25" i="1"/>
  <c r="CB25" i="1"/>
  <c r="CF24" i="1"/>
  <c r="CH24" i="1" s="1"/>
  <c r="CI24" i="1" s="1"/>
  <c r="CE24" i="1"/>
  <c r="CB24" i="1"/>
  <c r="CC24" i="1" s="1"/>
  <c r="CG24" i="1" s="1"/>
  <c r="CF23" i="1"/>
  <c r="CH23" i="1" s="1"/>
  <c r="CI23" i="1" s="1"/>
  <c r="CE23" i="1"/>
  <c r="CB23" i="1"/>
  <c r="CC23" i="1" s="1"/>
  <c r="CG23" i="1" s="1"/>
  <c r="CF22" i="1"/>
  <c r="CE22" i="1"/>
  <c r="CC22" i="1"/>
  <c r="CG22" i="1" s="1"/>
  <c r="CB22" i="1"/>
  <c r="CF21" i="1"/>
  <c r="CE21" i="1"/>
  <c r="CC21" i="1"/>
  <c r="CG21" i="1" s="1"/>
  <c r="CH21" i="1" s="1"/>
  <c r="CI21" i="1" s="1"/>
  <c r="CB21" i="1"/>
  <c r="CF20" i="1"/>
  <c r="CE20" i="1"/>
  <c r="CB20" i="1"/>
  <c r="CC20" i="1" s="1"/>
  <c r="CG20" i="1" s="1"/>
  <c r="CF19" i="1"/>
  <c r="CH19" i="1" s="1"/>
  <c r="CI19" i="1" s="1"/>
  <c r="CE19" i="1"/>
  <c r="CB19" i="1"/>
  <c r="CC19" i="1" s="1"/>
  <c r="CG19" i="1" s="1"/>
  <c r="CF18" i="1"/>
  <c r="CE18" i="1"/>
  <c r="CC18" i="1"/>
  <c r="CG18" i="1" s="1"/>
  <c r="CH18" i="1" s="1"/>
  <c r="CI18" i="1" s="1"/>
  <c r="CB18" i="1"/>
  <c r="CH17" i="1"/>
  <c r="CI17" i="1" s="1"/>
  <c r="CG17" i="1"/>
  <c r="CF17" i="1"/>
  <c r="CE17" i="1"/>
  <c r="CC17" i="1"/>
  <c r="CB17" i="1"/>
  <c r="CF16" i="1"/>
  <c r="CE16" i="1"/>
  <c r="CB16" i="1"/>
  <c r="CC16" i="1" s="1"/>
  <c r="CG16" i="1" s="1"/>
  <c r="CF15" i="1"/>
  <c r="CH15" i="1" s="1"/>
  <c r="CI15" i="1" s="1"/>
  <c r="CE15" i="1"/>
  <c r="CB15" i="1"/>
  <c r="CC15" i="1" s="1"/>
  <c r="CG15" i="1" s="1"/>
  <c r="CF14" i="1"/>
  <c r="CE14" i="1"/>
  <c r="CC14" i="1"/>
  <c r="CG14" i="1" s="1"/>
  <c r="CB14" i="1"/>
  <c r="CF13" i="1"/>
  <c r="CE13" i="1"/>
  <c r="CC13" i="1"/>
  <c r="CG13" i="1" s="1"/>
  <c r="CH13" i="1" s="1"/>
  <c r="CI13" i="1" s="1"/>
  <c r="CB13" i="1"/>
  <c r="CF12" i="1"/>
  <c r="CE12" i="1"/>
  <c r="CB12" i="1"/>
  <c r="CC12" i="1" s="1"/>
  <c r="CG12" i="1" s="1"/>
  <c r="CF11" i="1"/>
  <c r="CE11" i="1"/>
  <c r="CB11" i="1"/>
  <c r="CC11" i="1" s="1"/>
  <c r="CG11" i="1" s="1"/>
  <c r="CF10" i="1"/>
  <c r="CE10" i="1"/>
  <c r="CB10" i="1"/>
  <c r="CC10" i="1" s="1"/>
  <c r="CG10" i="1" s="1"/>
  <c r="CH10" i="1" s="1"/>
  <c r="CI10" i="1" s="1"/>
  <c r="CH9" i="1"/>
  <c r="CI9" i="1" s="1"/>
  <c r="CG9" i="1"/>
  <c r="CF9" i="1"/>
  <c r="CE9" i="1"/>
  <c r="CC9" i="1"/>
  <c r="CB9" i="1"/>
  <c r="CF8" i="1"/>
  <c r="CE8" i="1"/>
  <c r="CB8" i="1"/>
  <c r="CC8" i="1" s="1"/>
  <c r="CG8" i="1" s="1"/>
  <c r="CF7" i="1"/>
  <c r="CE7" i="1"/>
  <c r="CB7" i="1"/>
  <c r="CC7" i="1" s="1"/>
  <c r="CG7" i="1" s="1"/>
  <c r="CF6" i="1"/>
  <c r="CH6" i="1" s="1"/>
  <c r="CI6" i="1" s="1"/>
  <c r="CE6" i="1"/>
  <c r="CC6" i="1"/>
  <c r="CG6" i="1" s="1"/>
  <c r="CB6" i="1"/>
  <c r="CF5" i="1"/>
  <c r="CE5" i="1"/>
  <c r="CB5" i="1"/>
  <c r="CC5" i="1" s="1"/>
  <c r="CG5" i="1" s="1"/>
  <c r="CH5" i="1" s="1"/>
  <c r="CI5" i="1" s="1"/>
  <c r="CF4" i="1"/>
  <c r="CH4" i="1" s="1"/>
  <c r="CI4" i="1" s="1"/>
  <c r="CE4" i="1"/>
  <c r="CB4" i="1"/>
  <c r="CC4" i="1" s="1"/>
  <c r="CG4" i="1" s="1"/>
  <c r="CF3" i="1"/>
  <c r="CE3" i="1"/>
  <c r="CB3" i="1"/>
  <c r="CC3" i="1" s="1"/>
  <c r="CG3" i="1" s="1"/>
  <c r="CF2" i="1"/>
  <c r="CE2" i="1"/>
  <c r="CB2" i="1"/>
  <c r="CC2" i="1" s="1"/>
  <c r="CG2" i="1" s="1"/>
  <c r="CH2" i="1" l="1"/>
  <c r="CH7" i="1"/>
  <c r="CI7" i="1" s="1"/>
  <c r="CH11" i="1"/>
  <c r="CI11" i="1" s="1"/>
  <c r="CH28" i="1"/>
  <c r="CI28" i="1" s="1"/>
  <c r="CH16" i="1"/>
  <c r="CI16" i="1" s="1"/>
  <c r="CH20" i="1"/>
  <c r="CI20" i="1" s="1"/>
  <c r="CH3" i="1"/>
  <c r="CI3" i="1" s="1"/>
  <c r="CH8" i="1"/>
  <c r="CI8" i="1" s="1"/>
  <c r="CH12" i="1"/>
  <c r="CI12" i="1" s="1"/>
  <c r="CH14" i="1"/>
  <c r="CI14" i="1" s="1"/>
  <c r="CH39" i="1"/>
  <c r="CI39" i="1" s="1"/>
  <c r="CH22" i="1"/>
  <c r="CI22" i="1" s="1"/>
  <c r="CI2" i="1" l="1"/>
  <c r="CJ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us082982</author>
    <author>Miller, Zachary</author>
  </authors>
  <commentList>
    <comment ref="I5" authorId="0" shapeId="0" xr:uid="{00000000-0006-0000-0800-000001000000}">
      <text>
        <r>
          <rPr>
            <sz val="12"/>
            <color theme="1"/>
            <rFont val="Calibri"/>
            <family val="2"/>
            <scheme val="minor"/>
          </rPr>
          <t>List Contact Info Below</t>
        </r>
      </text>
    </comment>
    <comment ref="C6" authorId="1" shapeId="0" xr:uid="{00000000-0006-0000-0800-000002000000}">
      <text>
        <r>
          <rPr>
            <sz val="12"/>
            <color theme="1"/>
            <rFont val="Calibri"/>
            <family val="2"/>
            <scheme val="minor"/>
          </rPr>
          <t>This is the name of Cable Assembly that will be created.</t>
        </r>
      </text>
    </comment>
    <comment ref="C7" authorId="1" shapeId="0" xr:uid="{00000000-0006-0000-0800-000003000000}">
      <text>
        <r>
          <rPr>
            <sz val="12"/>
            <color theme="1"/>
            <rFont val="Calibri"/>
            <family val="2"/>
            <scheme val="minor"/>
          </rPr>
          <t>This is the customer PN for display on the drawing.</t>
        </r>
      </text>
    </comment>
    <comment ref="C28" authorId="1" shapeId="0" xr:uid="{00000000-0006-0000-0800-000004000000}">
      <text>
        <r>
          <rPr>
            <sz val="12"/>
            <color theme="1"/>
            <rFont val="Calibri"/>
            <family val="2"/>
            <scheme val="minor"/>
          </rPr>
          <t xml:space="preserve">The side of the harness on which the multiple position connector is located.
</t>
        </r>
      </text>
    </comment>
  </commentList>
</comments>
</file>

<file path=xl/sharedStrings.xml><?xml version="1.0" encoding="utf-8"?>
<sst xmlns="http://schemas.openxmlformats.org/spreadsheetml/2006/main" count="406" uniqueCount="237">
  <si>
    <t>Parameter</t>
  </si>
  <si>
    <t>Value</t>
  </si>
  <si>
    <t>Color : Conditional</t>
  </si>
  <si>
    <t>Color : Main</t>
  </si>
  <si>
    <t>Color - Condition</t>
  </si>
  <si>
    <t>Value - Condition</t>
  </si>
  <si>
    <t>Errors Yes/No</t>
  </si>
  <si>
    <t>Comment</t>
  </si>
  <si>
    <t>Error Count</t>
  </si>
  <si>
    <t>Assembly Name/PN:</t>
  </si>
  <si>
    <t>Please enter assembly name / part number</t>
  </si>
  <si>
    <t>Cable Harness Configuration</t>
  </si>
  <si>
    <t>Version:</t>
  </si>
  <si>
    <t>Customer P/N:</t>
  </si>
  <si>
    <t>Please enter customer P/N</t>
  </si>
  <si>
    <t>Customer Code:</t>
  </si>
  <si>
    <t>Please Enter Customer code</t>
  </si>
  <si>
    <t xml:space="preserve">General Information </t>
  </si>
  <si>
    <t>Tape Option</t>
  </si>
  <si>
    <t>Pin Out Chart</t>
  </si>
  <si>
    <t>Drawing size</t>
  </si>
  <si>
    <t>Data Input Prompt (Example : Drawing Size)</t>
  </si>
  <si>
    <t>Drawing Size:</t>
  </si>
  <si>
    <t>Please Enter Drawing size</t>
  </si>
  <si>
    <t>Add Tape:</t>
  </si>
  <si>
    <t>No</t>
  </si>
  <si>
    <t>Left</t>
  </si>
  <si>
    <t>Right</t>
  </si>
  <si>
    <t>A1</t>
  </si>
  <si>
    <t>Pull Down List (Example : Single to Single)</t>
  </si>
  <si>
    <t>Drawing Notes:</t>
  </si>
  <si>
    <t>Please Enter Drawing notes</t>
  </si>
  <si>
    <t>Tape Starting Distance (mm):</t>
  </si>
  <si>
    <t>Entered Data (Example : Harness Length)</t>
  </si>
  <si>
    <t>Packing Note:</t>
  </si>
  <si>
    <t>Please Enter Packing note</t>
  </si>
  <si>
    <t>DRX</t>
  </si>
  <si>
    <t>Tape Pitch (mm):</t>
  </si>
  <si>
    <t>abc</t>
  </si>
  <si>
    <t>Not applicable Data</t>
  </si>
  <si>
    <t>Coil Diameter:</t>
  </si>
  <si>
    <t>Please Enter Coil diameter</t>
  </si>
  <si>
    <t>Non Default Data</t>
  </si>
  <si>
    <t>Customer Drawing:</t>
  </si>
  <si>
    <t>Please Enter Customer drawing</t>
  </si>
  <si>
    <t>Drawing Information</t>
  </si>
  <si>
    <t>Multiple connector cavity pitch</t>
  </si>
  <si>
    <t xml:space="preserve">Drawing Title:  </t>
  </si>
  <si>
    <t>Please Enter Drawing title</t>
  </si>
  <si>
    <t>A2</t>
  </si>
  <si>
    <t>Connector-1 cavity pitch (mm)</t>
  </si>
  <si>
    <t>Color Code</t>
  </si>
  <si>
    <t xml:space="preserve">Drawn By:  </t>
  </si>
  <si>
    <t>Please Enter Drawn by</t>
  </si>
  <si>
    <t>Infotainment cable notes</t>
  </si>
  <si>
    <t>Connector-2 cavity pitch (mm)</t>
  </si>
  <si>
    <t xml:space="preserve">Checked By:  </t>
  </si>
  <si>
    <t>Please Enter Checked by</t>
  </si>
  <si>
    <t>Included</t>
  </si>
  <si>
    <t xml:space="preserve">Approved By:  </t>
  </si>
  <si>
    <t>Please Enter Approved by</t>
  </si>
  <si>
    <t>Coil Diameter (mm):</t>
  </si>
  <si>
    <t xml:space="preserve">Drawn Date:  </t>
  </si>
  <si>
    <t>Please Enter Drawn date</t>
  </si>
  <si>
    <t>Fully Populated</t>
  </si>
  <si>
    <t xml:space="preserve">Checked Date:  </t>
  </si>
  <si>
    <t>Please Enter Checked date</t>
  </si>
  <si>
    <t xml:space="preserve">Approved Date:  </t>
  </si>
  <si>
    <t>Please Enter Approved date</t>
  </si>
  <si>
    <t>Drawing : Title Block Information</t>
  </si>
  <si>
    <t>Cable Harness Type:</t>
  </si>
  <si>
    <t>Please Enter Cable type</t>
  </si>
  <si>
    <t>Multiple Pos. Connector Side:</t>
  </si>
  <si>
    <t>Please Enter Multiple side</t>
  </si>
  <si>
    <t>Y. Eddahbi</t>
  </si>
  <si>
    <t>Number of Position:</t>
  </si>
  <si>
    <t>Please Enter Number position</t>
  </si>
  <si>
    <t>Harness Length D1:</t>
  </si>
  <si>
    <t>Please Enter Harness d1</t>
  </si>
  <si>
    <t>S. Chehboun</t>
  </si>
  <si>
    <t>Harness Length D2:</t>
  </si>
  <si>
    <t>Please Enter Harness d2</t>
  </si>
  <si>
    <t xml:space="preserve">Drawn Date (dd/mm/yy) :  </t>
  </si>
  <si>
    <t>1/14/2022</t>
  </si>
  <si>
    <t>Harness Length D3:</t>
  </si>
  <si>
    <t>Please Enter Harness d3</t>
  </si>
  <si>
    <t xml:space="preserve">Checked Date (dd/mm/yy) :  </t>
  </si>
  <si>
    <t>Harness Length D4:</t>
  </si>
  <si>
    <t>Please Enter Harness d4</t>
  </si>
  <si>
    <t xml:space="preserve">Approved Date (dd/mm/yy) :  </t>
  </si>
  <si>
    <t>Wire Twist Type:</t>
  </si>
  <si>
    <t>Please Enter Wire type</t>
  </si>
  <si>
    <t>Wire Twist Pitch:</t>
  </si>
  <si>
    <t>Please Enter Wire pitch</t>
  </si>
  <si>
    <t>Wire Twist Length:</t>
  </si>
  <si>
    <t>Please Enter Wire length</t>
  </si>
  <si>
    <t>Single to Single</t>
  </si>
  <si>
    <t>Wire Diameter W1:</t>
  </si>
  <si>
    <t>Please Enter Wire w1</t>
  </si>
  <si>
    <t>Wire Diameter W2:</t>
  </si>
  <si>
    <t>Please Enter Wire w2</t>
  </si>
  <si>
    <t>Wire Diameter W3:</t>
  </si>
  <si>
    <t>Please Enter Wire w3</t>
  </si>
  <si>
    <t>Harness Length D1(mm):</t>
  </si>
  <si>
    <t>Wire Diameter W4:</t>
  </si>
  <si>
    <t>Please Enter Wire w4</t>
  </si>
  <si>
    <t>Harness Length D2(mm):</t>
  </si>
  <si>
    <t>Connector-1 Rotation:</t>
  </si>
  <si>
    <t>Please Enter Connector rotation</t>
  </si>
  <si>
    <t>Harness Length D3(mm):</t>
  </si>
  <si>
    <t>Connector-2 Rotation:</t>
  </si>
  <si>
    <t>Harness Length D4(mm):</t>
  </si>
  <si>
    <t>Connector-3 Rotation:</t>
  </si>
  <si>
    <t>Connector-4 Rotation:</t>
  </si>
  <si>
    <t>Wire Specification</t>
  </si>
  <si>
    <t>Connector-5 Rotation:</t>
  </si>
  <si>
    <t>Please Enter Add tape</t>
  </si>
  <si>
    <t>Wire Twist Pitch(mm):</t>
  </si>
  <si>
    <t>Tape Starting Distance:</t>
  </si>
  <si>
    <t>Please Enter Tape distance</t>
  </si>
  <si>
    <t>Wire Twist Length(mm):</t>
  </si>
  <si>
    <t>Tape Pitch:</t>
  </si>
  <si>
    <t>Please Enter Tape pitch</t>
  </si>
  <si>
    <t>Wire Diameter W1(mm):</t>
  </si>
  <si>
    <t>Connector-1 cavity pitch</t>
  </si>
  <si>
    <t>Please Enter Connector pitch</t>
  </si>
  <si>
    <t>Wire Diameter W2(mm):</t>
  </si>
  <si>
    <t>Connector-2 cavity pitch</t>
  </si>
  <si>
    <t>Wire Diameter W3(mm):</t>
  </si>
  <si>
    <t>Position-1</t>
  </si>
  <si>
    <t>Please Enter Position position</t>
  </si>
  <si>
    <t>Wire Diameter W4(mm):</t>
  </si>
  <si>
    <t>Position-2</t>
  </si>
  <si>
    <t>Position-3</t>
  </si>
  <si>
    <t>Connector Rotation (degrees)</t>
  </si>
  <si>
    <t>Position-4</t>
  </si>
  <si>
    <t>QTY REQD PER ASSY</t>
  </si>
  <si>
    <t>U/M</t>
  </si>
  <si>
    <t>PART NO</t>
  </si>
  <si>
    <t xml:space="preserve">REMARKS </t>
  </si>
  <si>
    <t>DESCRIPTION</t>
  </si>
  <si>
    <t>ITEM</t>
  </si>
  <si>
    <t>Level</t>
  </si>
  <si>
    <t>Position</t>
  </si>
  <si>
    <t>1832731-1</t>
  </si>
  <si>
    <t>2138495-3</t>
  </si>
  <si>
    <t>1438887-3</t>
  </si>
  <si>
    <t>1557475-1</t>
  </si>
  <si>
    <t>Connector_1</t>
  </si>
  <si>
    <t>LABEL</t>
  </si>
  <si>
    <t>Connector_2</t>
  </si>
  <si>
    <t>CABLE</t>
  </si>
  <si>
    <t>Blank</t>
  </si>
  <si>
    <t>MULTIPLE-CONNECTOR</t>
  </si>
  <si>
    <t>SINGLE-CONNECTOR</t>
  </si>
  <si>
    <t>X</t>
  </si>
  <si>
    <t>Y</t>
  </si>
  <si>
    <t>Z</t>
  </si>
  <si>
    <t>Sr. No.</t>
  </si>
  <si>
    <t>From</t>
  </si>
  <si>
    <t>To</t>
  </si>
  <si>
    <t>Connector 1</t>
  </si>
  <si>
    <t>Connector 2</t>
  </si>
  <si>
    <t>Type of Harness</t>
  </si>
  <si>
    <t>Harness Side</t>
  </si>
  <si>
    <t>Number of Position</t>
  </si>
  <si>
    <t>Yes and No</t>
  </si>
  <si>
    <t>Drawing Option</t>
  </si>
  <si>
    <t>Customer Code</t>
  </si>
  <si>
    <t>Drawing Size</t>
  </si>
  <si>
    <t>Drawing Notes</t>
  </si>
  <si>
    <t>Packing Note</t>
  </si>
  <si>
    <t>Wire Twist Type</t>
  </si>
  <si>
    <t>Wire Route</t>
  </si>
  <si>
    <t>Table_Single_to_Single</t>
  </si>
  <si>
    <t>Table_Multiple_to_Single_POS_2_Left</t>
  </si>
  <si>
    <t>Table_Multiple_to_Single_POS_2_Right</t>
  </si>
  <si>
    <t>Table_Multiple_to_Single_POS_3_Left</t>
  </si>
  <si>
    <t>Table_Multiple_to_Single_POS_3_Right</t>
  </si>
  <si>
    <t>Table_Multiple_to_Single_POS_4_Left</t>
  </si>
  <si>
    <t>Table_Multiple_to_Single_POS_4_Right</t>
  </si>
  <si>
    <t>Table_Multiple_to_Multiple_POS_2</t>
  </si>
  <si>
    <t>Table_Multiple_to_Multiple_POS_3</t>
  </si>
  <si>
    <t>Table_Multiple_to_Multiple_POS_4</t>
  </si>
  <si>
    <t>Table_General</t>
  </si>
  <si>
    <t>Yes</t>
  </si>
  <si>
    <t>ATL</t>
  </si>
  <si>
    <t>A0</t>
  </si>
  <si>
    <t>Non-Twisted</t>
  </si>
  <si>
    <t>Con_1_Pos_1</t>
  </si>
  <si>
    <t>Multiple to Single</t>
  </si>
  <si>
    <t>BOSC</t>
  </si>
  <si>
    <t>Squib Pigtail notes</t>
  </si>
  <si>
    <t>Not Included</t>
  </si>
  <si>
    <t>Twisted</t>
  </si>
  <si>
    <t>Con_1_Pos_2</t>
  </si>
  <si>
    <t>Con_2_Pos_2</t>
  </si>
  <si>
    <t>Multiple to Multiple</t>
  </si>
  <si>
    <t>CTA</t>
  </si>
  <si>
    <t>Con_2_Pos_1</t>
  </si>
  <si>
    <t>Con_3_pos_1</t>
  </si>
  <si>
    <t>Con_1_Pos_3</t>
  </si>
  <si>
    <t>Con_3_Pos_3</t>
  </si>
  <si>
    <t>General</t>
  </si>
  <si>
    <t>DAN</t>
  </si>
  <si>
    <t>Con_3_Pos_2</t>
  </si>
  <si>
    <t>Con_4_Pos_1</t>
  </si>
  <si>
    <t>Con_1_Pos_4</t>
  </si>
  <si>
    <t>Con_4_Pos_4</t>
  </si>
  <si>
    <t>FCA</t>
  </si>
  <si>
    <t>Con_4_Pos_2</t>
  </si>
  <si>
    <t>Con_5_Pos_1</t>
  </si>
  <si>
    <t>FJKR</t>
  </si>
  <si>
    <t>Con_4_Pos_3</t>
  </si>
  <si>
    <t>Con_5_Pos_2</t>
  </si>
  <si>
    <t>Con_2_Pos_3</t>
  </si>
  <si>
    <t>FMC</t>
  </si>
  <si>
    <t>Con_5_Pos_3</t>
  </si>
  <si>
    <t>GHSP</t>
  </si>
  <si>
    <t>Con_5_Pos_4</t>
  </si>
  <si>
    <t>Con_2_Pos_4</t>
  </si>
  <si>
    <t>GMC</t>
  </si>
  <si>
    <t>HML</t>
  </si>
  <si>
    <t>HOND</t>
  </si>
  <si>
    <t>KSS</t>
  </si>
  <si>
    <t>LEAR</t>
  </si>
  <si>
    <t>TAK</t>
  </si>
  <si>
    <t>YNA</t>
  </si>
  <si>
    <t>LEON</t>
  </si>
  <si>
    <t>Wire Route Left</t>
  </si>
  <si>
    <t>Wire Route Right</t>
  </si>
  <si>
    <t>Connector Rotation 1:</t>
  </si>
  <si>
    <t>Connector Rotation 2:</t>
  </si>
  <si>
    <t>Connector Rotation 3:</t>
  </si>
  <si>
    <t>Connector Rotation 4:</t>
  </si>
  <si>
    <t>Connector Rotation 5: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</si>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</sst>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 applyNumberFormat="1"/>
    <xf numFmtId="0" fontId="0" fillId="0" borderId="0" xfId="0" applyNumberFormat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DA49"/>
  <sheetViews>
    <sheetView topLeftCell="A27" workbookViewId="0">
      <selection activeCell="D18" sqref="D18"/>
    </sheetView>
  </sheetViews>
  <sheetFormatPr defaultRowHeight="15" x14ac:dyDescent="0.25"/>
  <sheetData>
    <row r="1" spans="2:105" ht="15.75" x14ac:dyDescent="0.25">
      <c r="CA1" t="s">
        <v>0</v>
      </c>
      <c r="CB1" t="s">
        <v>1</v>
      </c>
      <c r="CC1" t="s">
        <v>0</v>
      </c>
      <c r="CD1" t="s">
        <v>2</v>
      </c>
      <c r="CE1" t="s">
        <v>3</v>
      </c>
      <c r="CF1" t="s">
        <v>4</v>
      </c>
      <c r="CG1" t="s">
        <v>5</v>
      </c>
      <c r="CH1" t="s">
        <v>6</v>
      </c>
      <c r="CI1" t="s">
        <v>7</v>
      </c>
      <c r="CJ1" t="s">
        <v>8</v>
      </c>
      <c r="CZ1" t="s">
        <v>3</v>
      </c>
      <c r="DA1" t="s">
        <v>7</v>
      </c>
    </row>
    <row r="2" spans="2:105" ht="15.75" x14ac:dyDescent="0.25">
      <c r="CA2" t="s">
        <v>9</v>
      </c>
      <c r="CB2" t="str">
        <f>TRIM(AssemblyName)</f>
        <v/>
      </c>
      <c r="CC2" t="str">
        <f t="shared" ref="CC2:CC44" si="0">TRIM(CB2)</f>
        <v/>
      </c>
      <c r="CD2">
        <v>13434828</v>
      </c>
      <c r="CE2">
        <f t="shared" ref="CE2:CE44" si="1">CZ2</f>
        <v>13434828</v>
      </c>
      <c r="CF2">
        <f t="shared" ref="CF2:CF44" si="2">IF(CD2=8421504,0,1)</f>
        <v>1</v>
      </c>
      <c r="CG2">
        <f t="shared" ref="CG2:CG44" si="3">IF(CC2&lt;&gt;"",0,1)</f>
        <v>1</v>
      </c>
      <c r="CH2">
        <f t="shared" ref="CH2:CH44" si="4">IF(CF2=0,0,CG2)</f>
        <v>1</v>
      </c>
      <c r="CI2" t="str">
        <f t="shared" ref="CI2:CI44" si="5">IF(CH2=0,"",DA2)</f>
        <v>Please enter assembly name / part number</v>
      </c>
      <c r="CJ2">
        <f>COUNTIF(CH:CH,1)</f>
        <v>7</v>
      </c>
      <c r="CZ2">
        <v>13434828</v>
      </c>
      <c r="DA2" t="s">
        <v>10</v>
      </c>
    </row>
    <row r="3" spans="2:105" ht="15.75" x14ac:dyDescent="0.25">
      <c r="B3" s="1" t="s">
        <v>11</v>
      </c>
      <c r="C3" s="1"/>
      <c r="D3" s="1"/>
      <c r="E3" s="1"/>
      <c r="F3" s="1"/>
      <c r="G3" s="1"/>
      <c r="H3" s="1"/>
      <c r="I3" s="1"/>
      <c r="J3" s="1"/>
      <c r="K3" t="s">
        <v>12</v>
      </c>
      <c r="L3">
        <v>6</v>
      </c>
      <c r="CA3" t="s">
        <v>13</v>
      </c>
      <c r="CB3" t="str">
        <f>TRIM(CustomerNumber)</f>
        <v/>
      </c>
      <c r="CC3" t="str">
        <f t="shared" si="0"/>
        <v/>
      </c>
      <c r="CD3">
        <v>13434828</v>
      </c>
      <c r="CE3">
        <f t="shared" si="1"/>
        <v>13434828</v>
      </c>
      <c r="CF3">
        <f t="shared" si="2"/>
        <v>1</v>
      </c>
      <c r="CG3">
        <f t="shared" si="3"/>
        <v>1</v>
      </c>
      <c r="CH3">
        <f t="shared" si="4"/>
        <v>1</v>
      </c>
      <c r="CI3" t="str">
        <f t="shared" si="5"/>
        <v>Please enter customer P/N</v>
      </c>
      <c r="CZ3">
        <v>13434828</v>
      </c>
      <c r="DA3" t="s">
        <v>14</v>
      </c>
    </row>
    <row r="4" spans="2:105" ht="15.75" x14ac:dyDescent="0.25">
      <c r="CA4" t="s">
        <v>15</v>
      </c>
      <c r="CB4" t="str">
        <f>TRIM(CustomerCode)</f>
        <v>DRX</v>
      </c>
      <c r="CC4" t="str">
        <f t="shared" si="0"/>
        <v>DRX</v>
      </c>
      <c r="CD4">
        <v>16764057</v>
      </c>
      <c r="CE4">
        <f t="shared" si="1"/>
        <v>16764057</v>
      </c>
      <c r="CF4">
        <f t="shared" si="2"/>
        <v>1</v>
      </c>
      <c r="CG4">
        <f t="shared" si="3"/>
        <v>0</v>
      </c>
      <c r="CH4">
        <f t="shared" si="4"/>
        <v>0</v>
      </c>
      <c r="CI4" t="str">
        <f t="shared" si="5"/>
        <v/>
      </c>
      <c r="CZ4">
        <v>16764057</v>
      </c>
      <c r="DA4" t="s">
        <v>16</v>
      </c>
    </row>
    <row r="5" spans="2:105" ht="15.75" x14ac:dyDescent="0.25">
      <c r="C5" s="1" t="s">
        <v>17</v>
      </c>
      <c r="D5" s="1"/>
      <c r="F5" s="1" t="s">
        <v>18</v>
      </c>
      <c r="G5" s="1"/>
      <c r="I5" s="1" t="s">
        <v>19</v>
      </c>
      <c r="J5" s="1"/>
      <c r="N5" t="s">
        <v>20</v>
      </c>
      <c r="O5" s="1" t="s">
        <v>21</v>
      </c>
      <c r="P5" s="1"/>
      <c r="Q5" s="1"/>
      <c r="R5" s="1"/>
      <c r="CA5" t="s">
        <v>22</v>
      </c>
      <c r="CB5" t="str">
        <f>TRIM(DrawingSize)</f>
        <v>A2</v>
      </c>
      <c r="CC5" t="str">
        <f t="shared" si="0"/>
        <v>A2</v>
      </c>
      <c r="CD5">
        <v>16764057</v>
      </c>
      <c r="CE5">
        <f t="shared" si="1"/>
        <v>16764057</v>
      </c>
      <c r="CF5">
        <f t="shared" si="2"/>
        <v>1</v>
      </c>
      <c r="CG5">
        <f t="shared" si="3"/>
        <v>0</v>
      </c>
      <c r="CH5">
        <f t="shared" si="4"/>
        <v>0</v>
      </c>
      <c r="CI5" t="str">
        <f t="shared" si="5"/>
        <v/>
      </c>
      <c r="CZ5">
        <v>16764057</v>
      </c>
      <c r="DA5" t="s">
        <v>23</v>
      </c>
    </row>
    <row r="6" spans="2:105" ht="15.75" x14ac:dyDescent="0.25">
      <c r="C6" t="s">
        <v>9</v>
      </c>
      <c r="F6" t="s">
        <v>24</v>
      </c>
      <c r="G6" t="s">
        <v>25</v>
      </c>
      <c r="I6" t="s">
        <v>26</v>
      </c>
      <c r="J6" t="s">
        <v>27</v>
      </c>
      <c r="N6" t="s">
        <v>28</v>
      </c>
      <c r="O6" s="1" t="s">
        <v>29</v>
      </c>
      <c r="P6" s="1"/>
      <c r="Q6" s="1"/>
      <c r="R6" s="1"/>
      <c r="CA6" t="s">
        <v>30</v>
      </c>
      <c r="CB6" t="str">
        <f>TRIM(DrawingNotes)</f>
        <v>Infotainment cable notes</v>
      </c>
      <c r="CC6" t="str">
        <f t="shared" si="0"/>
        <v>Infotainment cable notes</v>
      </c>
      <c r="CD6">
        <v>16764057</v>
      </c>
      <c r="CE6">
        <f t="shared" si="1"/>
        <v>16764057</v>
      </c>
      <c r="CF6">
        <f t="shared" si="2"/>
        <v>1</v>
      </c>
      <c r="CG6">
        <f t="shared" si="3"/>
        <v>0</v>
      </c>
      <c r="CH6">
        <f t="shared" si="4"/>
        <v>0</v>
      </c>
      <c r="CI6" t="str">
        <f t="shared" si="5"/>
        <v/>
      </c>
      <c r="CZ6">
        <v>16764057</v>
      </c>
      <c r="DA6" t="s">
        <v>31</v>
      </c>
    </row>
    <row r="7" spans="2:105" ht="15.75" x14ac:dyDescent="0.25">
      <c r="C7" t="s">
        <v>13</v>
      </c>
      <c r="F7" t="s">
        <v>32</v>
      </c>
      <c r="N7">
        <v>300</v>
      </c>
      <c r="O7" s="1" t="s">
        <v>33</v>
      </c>
      <c r="P7" s="1"/>
      <c r="Q7" s="1"/>
      <c r="R7" s="1"/>
      <c r="CA7" t="s">
        <v>34</v>
      </c>
      <c r="CB7" t="str">
        <f>TRIM(PackingNote)</f>
        <v>Included</v>
      </c>
      <c r="CC7" t="str">
        <f t="shared" si="0"/>
        <v>Included</v>
      </c>
      <c r="CD7">
        <v>16764057</v>
      </c>
      <c r="CE7">
        <f t="shared" si="1"/>
        <v>16764057</v>
      </c>
      <c r="CF7">
        <f t="shared" si="2"/>
        <v>1</v>
      </c>
      <c r="CG7">
        <f t="shared" si="3"/>
        <v>0</v>
      </c>
      <c r="CH7">
        <f t="shared" si="4"/>
        <v>0</v>
      </c>
      <c r="CI7" t="str">
        <f t="shared" si="5"/>
        <v/>
      </c>
      <c r="CZ7">
        <v>16764057</v>
      </c>
      <c r="DA7" t="s">
        <v>35</v>
      </c>
    </row>
    <row r="8" spans="2:105" ht="15.75" x14ac:dyDescent="0.25">
      <c r="C8" t="s">
        <v>15</v>
      </c>
      <c r="D8" t="s">
        <v>36</v>
      </c>
      <c r="F8" t="s">
        <v>37</v>
      </c>
      <c r="N8" t="s">
        <v>38</v>
      </c>
      <c r="O8" s="1" t="s">
        <v>39</v>
      </c>
      <c r="P8" s="1"/>
      <c r="Q8" s="1"/>
      <c r="R8" s="1"/>
      <c r="CA8" t="s">
        <v>40</v>
      </c>
      <c r="CB8" t="str">
        <f>TRIM(CoilDiameter)</f>
        <v>200</v>
      </c>
      <c r="CC8" t="str">
        <f t="shared" si="0"/>
        <v>200</v>
      </c>
      <c r="CD8">
        <v>13434828</v>
      </c>
      <c r="CE8">
        <f t="shared" si="1"/>
        <v>13434828</v>
      </c>
      <c r="CF8">
        <f t="shared" si="2"/>
        <v>1</v>
      </c>
      <c r="CG8">
        <f t="shared" si="3"/>
        <v>0</v>
      </c>
      <c r="CH8">
        <f t="shared" si="4"/>
        <v>0</v>
      </c>
      <c r="CI8" t="str">
        <f t="shared" si="5"/>
        <v/>
      </c>
      <c r="CZ8">
        <v>13434828</v>
      </c>
      <c r="DA8" t="s">
        <v>41</v>
      </c>
    </row>
    <row r="9" spans="2:105" ht="15.75" x14ac:dyDescent="0.25">
      <c r="O9" s="1" t="s">
        <v>42</v>
      </c>
      <c r="P9" s="1"/>
      <c r="Q9" s="1"/>
      <c r="R9" s="1"/>
      <c r="CA9" t="s">
        <v>43</v>
      </c>
      <c r="CB9" t="str">
        <f>TRIM(CustomerDrawingOption)</f>
        <v>Fully Populated</v>
      </c>
      <c r="CC9" t="str">
        <f t="shared" si="0"/>
        <v>Fully Populated</v>
      </c>
      <c r="CD9">
        <v>16764057</v>
      </c>
      <c r="CE9">
        <f t="shared" si="1"/>
        <v>16764057</v>
      </c>
      <c r="CF9">
        <f t="shared" si="2"/>
        <v>1</v>
      </c>
      <c r="CG9">
        <f t="shared" si="3"/>
        <v>0</v>
      </c>
      <c r="CH9">
        <f t="shared" si="4"/>
        <v>0</v>
      </c>
      <c r="CI9" t="str">
        <f t="shared" si="5"/>
        <v/>
      </c>
      <c r="CZ9">
        <v>16764057</v>
      </c>
      <c r="DA9" t="s">
        <v>44</v>
      </c>
    </row>
    <row r="10" spans="2:105" ht="15.75" x14ac:dyDescent="0.25">
      <c r="C10" s="1" t="s">
        <v>45</v>
      </c>
      <c r="D10" s="1"/>
      <c r="F10" s="1" t="s">
        <v>46</v>
      </c>
      <c r="G10" s="1"/>
      <c r="CA10" t="s">
        <v>47</v>
      </c>
      <c r="CB10" t="str">
        <f>TRIM(Drawing_Title)</f>
        <v/>
      </c>
      <c r="CC10" t="str">
        <f t="shared" si="0"/>
        <v/>
      </c>
      <c r="CD10">
        <v>13434828</v>
      </c>
      <c r="CE10">
        <f t="shared" si="1"/>
        <v>13434828</v>
      </c>
      <c r="CF10">
        <f t="shared" si="2"/>
        <v>1</v>
      </c>
      <c r="CG10">
        <f t="shared" si="3"/>
        <v>1</v>
      </c>
      <c r="CH10">
        <f t="shared" si="4"/>
        <v>1</v>
      </c>
      <c r="CI10" t="str">
        <f t="shared" si="5"/>
        <v>Please Enter Drawing title</v>
      </c>
      <c r="CZ10">
        <v>13434828</v>
      </c>
      <c r="DA10" t="s">
        <v>48</v>
      </c>
    </row>
    <row r="11" spans="2:105" ht="15.75" x14ac:dyDescent="0.25">
      <c r="C11" t="s">
        <v>22</v>
      </c>
      <c r="D11" t="s">
        <v>49</v>
      </c>
      <c r="F11" t="s">
        <v>50</v>
      </c>
      <c r="G11">
        <v>8</v>
      </c>
      <c r="N11" s="1" t="s">
        <v>51</v>
      </c>
      <c r="O11" s="1"/>
      <c r="P11" s="1"/>
      <c r="Q11" s="1"/>
      <c r="R11" s="1"/>
      <c r="CA11" t="s">
        <v>52</v>
      </c>
      <c r="CB11" t="str">
        <f>TRIM(Drawn_By)</f>
        <v>Y. Eddahbi</v>
      </c>
      <c r="CC11" t="str">
        <f t="shared" si="0"/>
        <v>Y. Eddahbi</v>
      </c>
      <c r="CD11">
        <v>13434828</v>
      </c>
      <c r="CE11">
        <f t="shared" si="1"/>
        <v>13434828</v>
      </c>
      <c r="CF11">
        <f t="shared" si="2"/>
        <v>1</v>
      </c>
      <c r="CG11">
        <f t="shared" si="3"/>
        <v>0</v>
      </c>
      <c r="CH11">
        <f t="shared" si="4"/>
        <v>0</v>
      </c>
      <c r="CI11" t="str">
        <f t="shared" si="5"/>
        <v/>
      </c>
      <c r="CZ11">
        <v>13434828</v>
      </c>
      <c r="DA11" t="s">
        <v>53</v>
      </c>
    </row>
    <row r="12" spans="2:105" ht="15.75" x14ac:dyDescent="0.25">
      <c r="C12" t="s">
        <v>30</v>
      </c>
      <c r="D12" t="s">
        <v>54</v>
      </c>
      <c r="F12" t="s">
        <v>55</v>
      </c>
      <c r="CA12" t="s">
        <v>56</v>
      </c>
      <c r="CB12" t="str">
        <f>TRIM(Checked_by)</f>
        <v>Y. Eddahbi</v>
      </c>
      <c r="CC12" t="str">
        <f t="shared" si="0"/>
        <v>Y. Eddahbi</v>
      </c>
      <c r="CD12">
        <v>13434828</v>
      </c>
      <c r="CE12">
        <f t="shared" si="1"/>
        <v>13434828</v>
      </c>
      <c r="CF12">
        <f t="shared" si="2"/>
        <v>1</v>
      </c>
      <c r="CG12">
        <f t="shared" si="3"/>
        <v>0</v>
      </c>
      <c r="CH12">
        <f t="shared" si="4"/>
        <v>0</v>
      </c>
      <c r="CI12" t="str">
        <f t="shared" si="5"/>
        <v/>
      </c>
      <c r="CZ12">
        <v>13434828</v>
      </c>
      <c r="DA12" t="s">
        <v>57</v>
      </c>
    </row>
    <row r="13" spans="2:105" ht="15.75" x14ac:dyDescent="0.25">
      <c r="C13" t="s">
        <v>34</v>
      </c>
      <c r="D13" t="s">
        <v>58</v>
      </c>
      <c r="CA13" t="s">
        <v>59</v>
      </c>
      <c r="CB13" t="str">
        <f>TRIM(Approved_By)</f>
        <v>S. Chehboun</v>
      </c>
      <c r="CC13" t="str">
        <f t="shared" si="0"/>
        <v>S. Chehboun</v>
      </c>
      <c r="CD13">
        <v>13434828</v>
      </c>
      <c r="CE13">
        <f t="shared" si="1"/>
        <v>13434828</v>
      </c>
      <c r="CF13">
        <f t="shared" si="2"/>
        <v>1</v>
      </c>
      <c r="CG13">
        <f t="shared" si="3"/>
        <v>0</v>
      </c>
      <c r="CH13">
        <f t="shared" si="4"/>
        <v>0</v>
      </c>
      <c r="CI13" t="str">
        <f t="shared" si="5"/>
        <v/>
      </c>
      <c r="CZ13">
        <v>13434828</v>
      </c>
      <c r="DA13" t="s">
        <v>60</v>
      </c>
    </row>
    <row r="14" spans="2:105" ht="15.75" x14ac:dyDescent="0.25">
      <c r="C14" t="s">
        <v>61</v>
      </c>
      <c r="D14">
        <v>200</v>
      </c>
      <c r="CA14" t="s">
        <v>62</v>
      </c>
      <c r="CB14" t="str">
        <f>TRIM(Drawn_Date)</f>
        <v>1/14/2022</v>
      </c>
      <c r="CC14" t="str">
        <f t="shared" si="0"/>
        <v>1/14/2022</v>
      </c>
      <c r="CD14">
        <v>13434828</v>
      </c>
      <c r="CE14">
        <f t="shared" si="1"/>
        <v>13434828</v>
      </c>
      <c r="CF14">
        <f t="shared" si="2"/>
        <v>1</v>
      </c>
      <c r="CG14">
        <f t="shared" si="3"/>
        <v>0</v>
      </c>
      <c r="CH14">
        <f t="shared" si="4"/>
        <v>0</v>
      </c>
      <c r="CI14" t="str">
        <f t="shared" si="5"/>
        <v/>
      </c>
      <c r="CZ14">
        <v>13434828</v>
      </c>
      <c r="DA14" t="s">
        <v>63</v>
      </c>
    </row>
    <row r="15" spans="2:105" ht="15.75" x14ac:dyDescent="0.25">
      <c r="C15" t="s">
        <v>43</v>
      </c>
      <c r="D15" t="s">
        <v>64</v>
      </c>
      <c r="CA15" t="s">
        <v>65</v>
      </c>
      <c r="CB15" t="str">
        <f>TRIM(Checked_Date)</f>
        <v>1/14/2022</v>
      </c>
      <c r="CC15" t="str">
        <f t="shared" si="0"/>
        <v>1/14/2022</v>
      </c>
      <c r="CD15">
        <v>13434828</v>
      </c>
      <c r="CE15">
        <f t="shared" si="1"/>
        <v>13434828</v>
      </c>
      <c r="CF15">
        <f t="shared" si="2"/>
        <v>1</v>
      </c>
      <c r="CG15">
        <f t="shared" si="3"/>
        <v>0</v>
      </c>
      <c r="CH15">
        <f t="shared" si="4"/>
        <v>0</v>
      </c>
      <c r="CI15" t="str">
        <f t="shared" si="5"/>
        <v/>
      </c>
      <c r="CZ15">
        <v>13434828</v>
      </c>
      <c r="DA15" t="s">
        <v>66</v>
      </c>
    </row>
    <row r="16" spans="2:105" ht="15.75" x14ac:dyDescent="0.25">
      <c r="CA16" t="s">
        <v>67</v>
      </c>
      <c r="CB16" t="str">
        <f>TRIM(Approved_Date)</f>
        <v>1/14/2022</v>
      </c>
      <c r="CC16" t="str">
        <f t="shared" si="0"/>
        <v>1/14/2022</v>
      </c>
      <c r="CD16">
        <v>13434828</v>
      </c>
      <c r="CE16">
        <f t="shared" si="1"/>
        <v>13434828</v>
      </c>
      <c r="CF16">
        <f t="shared" si="2"/>
        <v>1</v>
      </c>
      <c r="CG16">
        <f t="shared" si="3"/>
        <v>0</v>
      </c>
      <c r="CH16">
        <f t="shared" si="4"/>
        <v>0</v>
      </c>
      <c r="CI16" t="str">
        <f t="shared" si="5"/>
        <v/>
      </c>
      <c r="CZ16">
        <v>13434828</v>
      </c>
      <c r="DA16" t="s">
        <v>68</v>
      </c>
    </row>
    <row r="17" spans="3:105" ht="15.75" x14ac:dyDescent="0.25">
      <c r="C17" s="1" t="s">
        <v>69</v>
      </c>
      <c r="D17" s="1"/>
      <c r="CA17" t="s">
        <v>70</v>
      </c>
      <c r="CB17" t="str">
        <f>TRIM(CableHarnessType)</f>
        <v>Single to Single</v>
      </c>
      <c r="CC17" t="str">
        <f t="shared" si="0"/>
        <v>Single to Single</v>
      </c>
      <c r="CD17">
        <v>16764057</v>
      </c>
      <c r="CE17">
        <f t="shared" si="1"/>
        <v>16764057</v>
      </c>
      <c r="CF17">
        <f t="shared" si="2"/>
        <v>1</v>
      </c>
      <c r="CG17">
        <f t="shared" si="3"/>
        <v>0</v>
      </c>
      <c r="CH17">
        <f t="shared" si="4"/>
        <v>0</v>
      </c>
      <c r="CI17" t="str">
        <f t="shared" si="5"/>
        <v/>
      </c>
      <c r="CZ17">
        <v>16764057</v>
      </c>
      <c r="DA17" t="s">
        <v>71</v>
      </c>
    </row>
    <row r="18" spans="3:105" ht="15.75" x14ac:dyDescent="0.25">
      <c r="C18" t="s">
        <v>47</v>
      </c>
      <c r="CA18" t="s">
        <v>72</v>
      </c>
      <c r="CB18" t="str">
        <f>TRIM(CableHarnessSide)</f>
        <v/>
      </c>
      <c r="CC18" t="str">
        <f t="shared" si="0"/>
        <v/>
      </c>
      <c r="CD18">
        <v>16764057</v>
      </c>
      <c r="CE18">
        <f t="shared" si="1"/>
        <v>16764057</v>
      </c>
      <c r="CF18">
        <f t="shared" si="2"/>
        <v>1</v>
      </c>
      <c r="CG18">
        <f t="shared" si="3"/>
        <v>1</v>
      </c>
      <c r="CH18">
        <f t="shared" si="4"/>
        <v>1</v>
      </c>
      <c r="CI18" t="str">
        <f t="shared" si="5"/>
        <v>Please Enter Multiple side</v>
      </c>
      <c r="CZ18">
        <v>16764057</v>
      </c>
      <c r="DA18" t="s">
        <v>73</v>
      </c>
    </row>
    <row r="19" spans="3:105" ht="15.75" x14ac:dyDescent="0.25">
      <c r="C19" t="s">
        <v>52</v>
      </c>
      <c r="D19" t="s">
        <v>74</v>
      </c>
      <c r="CA19" t="s">
        <v>75</v>
      </c>
      <c r="CB19" t="str">
        <f>TRIM(NumberOfPosition)</f>
        <v/>
      </c>
      <c r="CC19" t="str">
        <f t="shared" si="0"/>
        <v/>
      </c>
      <c r="CD19">
        <v>16764057</v>
      </c>
      <c r="CE19">
        <f t="shared" si="1"/>
        <v>16764057</v>
      </c>
      <c r="CF19">
        <f t="shared" si="2"/>
        <v>1</v>
      </c>
      <c r="CG19">
        <f t="shared" si="3"/>
        <v>1</v>
      </c>
      <c r="CH19">
        <f t="shared" si="4"/>
        <v>1</v>
      </c>
      <c r="CI19" t="str">
        <f t="shared" si="5"/>
        <v>Please Enter Number position</v>
      </c>
      <c r="CZ19">
        <v>16764057</v>
      </c>
      <c r="DA19" t="s">
        <v>76</v>
      </c>
    </row>
    <row r="20" spans="3:105" ht="15.75" x14ac:dyDescent="0.25">
      <c r="C20" t="s">
        <v>56</v>
      </c>
      <c r="D20" t="s">
        <v>74</v>
      </c>
      <c r="CA20" t="s">
        <v>77</v>
      </c>
      <c r="CB20" t="str">
        <f>TRIM(HarnessLengthD1)</f>
        <v>3650</v>
      </c>
      <c r="CC20" t="str">
        <f t="shared" si="0"/>
        <v>3650</v>
      </c>
      <c r="CD20">
        <v>13434828</v>
      </c>
      <c r="CE20">
        <f t="shared" si="1"/>
        <v>13434828</v>
      </c>
      <c r="CF20">
        <f t="shared" si="2"/>
        <v>1</v>
      </c>
      <c r="CG20">
        <f t="shared" si="3"/>
        <v>0</v>
      </c>
      <c r="CH20">
        <f t="shared" si="4"/>
        <v>0</v>
      </c>
      <c r="CI20" t="str">
        <f t="shared" si="5"/>
        <v/>
      </c>
      <c r="CZ20">
        <v>13434828</v>
      </c>
      <c r="DA20" t="s">
        <v>78</v>
      </c>
    </row>
    <row r="21" spans="3:105" ht="15.75" x14ac:dyDescent="0.25">
      <c r="C21" t="s">
        <v>59</v>
      </c>
      <c r="D21" t="s">
        <v>79</v>
      </c>
      <c r="CA21" t="s">
        <v>80</v>
      </c>
      <c r="CB21" t="str">
        <f>TRIM(HarnessLengthD2)</f>
        <v/>
      </c>
      <c r="CC21" t="str">
        <f t="shared" si="0"/>
        <v/>
      </c>
      <c r="CD21">
        <v>13434828</v>
      </c>
      <c r="CE21">
        <f t="shared" si="1"/>
        <v>13434828</v>
      </c>
      <c r="CF21">
        <f t="shared" si="2"/>
        <v>1</v>
      </c>
      <c r="CG21">
        <f t="shared" si="3"/>
        <v>1</v>
      </c>
      <c r="CH21">
        <f t="shared" si="4"/>
        <v>1</v>
      </c>
      <c r="CI21" t="str">
        <f t="shared" si="5"/>
        <v>Please Enter Harness d2</v>
      </c>
      <c r="CZ21">
        <v>13434828</v>
      </c>
      <c r="DA21" t="s">
        <v>81</v>
      </c>
    </row>
    <row r="22" spans="3:105" ht="15.75" x14ac:dyDescent="0.25">
      <c r="C22" t="s">
        <v>82</v>
      </c>
      <c r="D22" t="s">
        <v>83</v>
      </c>
      <c r="CA22" t="s">
        <v>84</v>
      </c>
      <c r="CB22" t="str">
        <f>TRIM(HarnessLengthD3)</f>
        <v/>
      </c>
      <c r="CC22" t="str">
        <f t="shared" si="0"/>
        <v/>
      </c>
      <c r="CD22">
        <v>13434828</v>
      </c>
      <c r="CE22">
        <f t="shared" si="1"/>
        <v>13434828</v>
      </c>
      <c r="CF22">
        <f t="shared" si="2"/>
        <v>1</v>
      </c>
      <c r="CG22">
        <f t="shared" si="3"/>
        <v>1</v>
      </c>
      <c r="CH22">
        <f t="shared" si="4"/>
        <v>1</v>
      </c>
      <c r="CI22" t="str">
        <f t="shared" si="5"/>
        <v>Please Enter Harness d3</v>
      </c>
      <c r="CZ22">
        <v>13434828</v>
      </c>
      <c r="DA22" t="s">
        <v>85</v>
      </c>
    </row>
    <row r="23" spans="3:105" ht="15.75" x14ac:dyDescent="0.25">
      <c r="C23" t="s">
        <v>86</v>
      </c>
      <c r="D23" t="s">
        <v>83</v>
      </c>
      <c r="CA23" t="s">
        <v>87</v>
      </c>
      <c r="CB23" t="str">
        <f>TRIM(HarnessLengthD4)</f>
        <v/>
      </c>
      <c r="CC23" t="str">
        <f t="shared" si="0"/>
        <v/>
      </c>
      <c r="CD23">
        <v>8421504</v>
      </c>
      <c r="CE23">
        <f t="shared" si="1"/>
        <v>13434828</v>
      </c>
      <c r="CF23">
        <f t="shared" si="2"/>
        <v>0</v>
      </c>
      <c r="CG23">
        <f t="shared" si="3"/>
        <v>1</v>
      </c>
      <c r="CH23">
        <f t="shared" si="4"/>
        <v>0</v>
      </c>
      <c r="CI23" t="str">
        <f t="shared" si="5"/>
        <v/>
      </c>
      <c r="CZ23">
        <v>13434828</v>
      </c>
      <c r="DA23" t="s">
        <v>88</v>
      </c>
    </row>
    <row r="24" spans="3:105" ht="15.75" x14ac:dyDescent="0.25">
      <c r="C24" t="s">
        <v>89</v>
      </c>
      <c r="D24" t="s">
        <v>83</v>
      </c>
      <c r="CA24" t="s">
        <v>90</v>
      </c>
      <c r="CB24" t="str">
        <f>TRIM(WireTwistType)</f>
        <v/>
      </c>
      <c r="CC24" t="str">
        <f t="shared" si="0"/>
        <v/>
      </c>
      <c r="CD24">
        <v>8421504</v>
      </c>
      <c r="CE24">
        <f t="shared" si="1"/>
        <v>16764057</v>
      </c>
      <c r="CF24">
        <f t="shared" si="2"/>
        <v>0</v>
      </c>
      <c r="CG24">
        <f t="shared" si="3"/>
        <v>1</v>
      </c>
      <c r="CH24">
        <f t="shared" si="4"/>
        <v>0</v>
      </c>
      <c r="CI24" t="str">
        <f t="shared" si="5"/>
        <v/>
      </c>
      <c r="CZ24">
        <v>16764057</v>
      </c>
      <c r="DA24" t="s">
        <v>91</v>
      </c>
    </row>
    <row r="25" spans="3:105" ht="15.75" x14ac:dyDescent="0.25">
      <c r="CA25" t="s">
        <v>92</v>
      </c>
      <c r="CB25" t="str">
        <f>TRIM(WireTwistPitch)</f>
        <v/>
      </c>
      <c r="CC25" t="str">
        <f t="shared" si="0"/>
        <v/>
      </c>
      <c r="CD25">
        <v>8421504</v>
      </c>
      <c r="CE25">
        <f t="shared" si="1"/>
        <v>13434828</v>
      </c>
      <c r="CF25">
        <f t="shared" si="2"/>
        <v>0</v>
      </c>
      <c r="CG25">
        <f t="shared" si="3"/>
        <v>1</v>
      </c>
      <c r="CH25">
        <f t="shared" si="4"/>
        <v>0</v>
      </c>
      <c r="CI25" t="str">
        <f t="shared" si="5"/>
        <v/>
      </c>
      <c r="CZ25">
        <v>13434828</v>
      </c>
      <c r="DA25" t="s">
        <v>93</v>
      </c>
    </row>
    <row r="26" spans="3:105" ht="15.75" x14ac:dyDescent="0.25">
      <c r="C26" s="1" t="s">
        <v>11</v>
      </c>
      <c r="D26" s="1"/>
      <c r="CA26" t="s">
        <v>94</v>
      </c>
      <c r="CB26" t="str">
        <f>TRIM(WireTwistLength)</f>
        <v/>
      </c>
      <c r="CC26" t="str">
        <f t="shared" si="0"/>
        <v/>
      </c>
      <c r="CD26">
        <v>8421504</v>
      </c>
      <c r="CE26">
        <f t="shared" si="1"/>
        <v>13434828</v>
      </c>
      <c r="CF26">
        <f t="shared" si="2"/>
        <v>0</v>
      </c>
      <c r="CG26">
        <f t="shared" si="3"/>
        <v>1</v>
      </c>
      <c r="CH26">
        <f t="shared" si="4"/>
        <v>0</v>
      </c>
      <c r="CI26" t="str">
        <f t="shared" si="5"/>
        <v/>
      </c>
      <c r="CZ26">
        <v>13434828</v>
      </c>
      <c r="DA26" t="s">
        <v>95</v>
      </c>
    </row>
    <row r="27" spans="3:105" ht="15.75" x14ac:dyDescent="0.25">
      <c r="C27" t="s">
        <v>70</v>
      </c>
      <c r="D27" t="s">
        <v>96</v>
      </c>
      <c r="CA27" t="s">
        <v>97</v>
      </c>
      <c r="CB27" t="str">
        <f>TRIM(WireDiamenterW1)</f>
        <v>3,3</v>
      </c>
      <c r="CC27" t="str">
        <f t="shared" si="0"/>
        <v>3,3</v>
      </c>
      <c r="CD27">
        <v>13434828</v>
      </c>
      <c r="CE27">
        <f t="shared" si="1"/>
        <v>13434828</v>
      </c>
      <c r="CF27">
        <f t="shared" si="2"/>
        <v>1</v>
      </c>
      <c r="CG27">
        <f t="shared" si="3"/>
        <v>0</v>
      </c>
      <c r="CH27">
        <f t="shared" si="4"/>
        <v>0</v>
      </c>
      <c r="CI27" t="str">
        <f t="shared" si="5"/>
        <v/>
      </c>
      <c r="CZ27">
        <v>13434828</v>
      </c>
      <c r="DA27" t="s">
        <v>98</v>
      </c>
    </row>
    <row r="28" spans="3:105" ht="15.75" x14ac:dyDescent="0.25">
      <c r="C28" t="s">
        <v>72</v>
      </c>
      <c r="CA28" t="s">
        <v>99</v>
      </c>
      <c r="CB28" t="str">
        <f>TRIM(WireDiamenterW2)</f>
        <v>3,3</v>
      </c>
      <c r="CC28" t="str">
        <f t="shared" si="0"/>
        <v>3,3</v>
      </c>
      <c r="CD28">
        <v>13434828</v>
      </c>
      <c r="CE28">
        <f t="shared" si="1"/>
        <v>13434828</v>
      </c>
      <c r="CF28">
        <f t="shared" si="2"/>
        <v>1</v>
      </c>
      <c r="CG28">
        <f t="shared" si="3"/>
        <v>0</v>
      </c>
      <c r="CH28">
        <f t="shared" si="4"/>
        <v>0</v>
      </c>
      <c r="CI28" t="str">
        <f t="shared" si="5"/>
        <v/>
      </c>
      <c r="CZ28">
        <v>13434828</v>
      </c>
      <c r="DA28" t="s">
        <v>100</v>
      </c>
    </row>
    <row r="29" spans="3:105" ht="15.75" x14ac:dyDescent="0.25">
      <c r="C29" t="s">
        <v>75</v>
      </c>
      <c r="CA29" t="s">
        <v>101</v>
      </c>
      <c r="CB29" t="str">
        <f>TRIM(WireDiamenterW3)</f>
        <v>3,3</v>
      </c>
      <c r="CC29" t="str">
        <f t="shared" si="0"/>
        <v>3,3</v>
      </c>
      <c r="CD29">
        <v>13434828</v>
      </c>
      <c r="CE29">
        <f t="shared" si="1"/>
        <v>13434828</v>
      </c>
      <c r="CF29">
        <f t="shared" si="2"/>
        <v>1</v>
      </c>
      <c r="CG29">
        <f t="shared" si="3"/>
        <v>0</v>
      </c>
      <c r="CH29">
        <f t="shared" si="4"/>
        <v>0</v>
      </c>
      <c r="CI29" t="str">
        <f t="shared" si="5"/>
        <v/>
      </c>
      <c r="CZ29">
        <v>13434828</v>
      </c>
      <c r="DA29" t="s">
        <v>102</v>
      </c>
    </row>
    <row r="30" spans="3:105" ht="15.75" x14ac:dyDescent="0.25">
      <c r="C30" t="s">
        <v>103</v>
      </c>
      <c r="D30">
        <v>3650</v>
      </c>
      <c r="CA30" t="s">
        <v>104</v>
      </c>
      <c r="CB30" t="str">
        <f>TRIM(WireDiamenterW4)</f>
        <v/>
      </c>
      <c r="CC30" t="str">
        <f t="shared" si="0"/>
        <v/>
      </c>
      <c r="CD30">
        <v>8421504</v>
      </c>
      <c r="CE30">
        <f t="shared" si="1"/>
        <v>13434828</v>
      </c>
      <c r="CF30">
        <f t="shared" si="2"/>
        <v>0</v>
      </c>
      <c r="CG30">
        <f t="shared" si="3"/>
        <v>1</v>
      </c>
      <c r="CH30">
        <f t="shared" si="4"/>
        <v>0</v>
      </c>
      <c r="CI30" t="str">
        <f t="shared" si="5"/>
        <v/>
      </c>
      <c r="CZ30">
        <v>13434828</v>
      </c>
      <c r="DA30" t="s">
        <v>105</v>
      </c>
    </row>
    <row r="31" spans="3:105" ht="15.75" x14ac:dyDescent="0.25">
      <c r="C31" t="s">
        <v>106</v>
      </c>
      <c r="CA31" t="s">
        <v>107</v>
      </c>
      <c r="CB31" t="str">
        <f>TRIM(ConnectorRotation1)</f>
        <v>0</v>
      </c>
      <c r="CC31" t="str">
        <f t="shared" si="0"/>
        <v>0</v>
      </c>
      <c r="CD31">
        <v>8421504</v>
      </c>
      <c r="CE31">
        <f t="shared" si="1"/>
        <v>13434828</v>
      </c>
      <c r="CF31">
        <f t="shared" si="2"/>
        <v>0</v>
      </c>
      <c r="CG31">
        <f t="shared" si="3"/>
        <v>0</v>
      </c>
      <c r="CH31">
        <f t="shared" si="4"/>
        <v>0</v>
      </c>
      <c r="CI31" t="str">
        <f t="shared" si="5"/>
        <v/>
      </c>
      <c r="CZ31">
        <v>13434828</v>
      </c>
      <c r="DA31" t="s">
        <v>108</v>
      </c>
    </row>
    <row r="32" spans="3:105" ht="15.75" x14ac:dyDescent="0.25">
      <c r="C32" t="s">
        <v>109</v>
      </c>
      <c r="CA32" t="s">
        <v>110</v>
      </c>
      <c r="CB32" t="str">
        <f>TRIM(ConnectorRotation2)</f>
        <v>180</v>
      </c>
      <c r="CC32" t="str">
        <f t="shared" si="0"/>
        <v>180</v>
      </c>
      <c r="CD32">
        <v>13434828</v>
      </c>
      <c r="CE32">
        <f t="shared" si="1"/>
        <v>13434828</v>
      </c>
      <c r="CF32">
        <f t="shared" si="2"/>
        <v>1</v>
      </c>
      <c r="CG32">
        <f t="shared" si="3"/>
        <v>0</v>
      </c>
      <c r="CH32">
        <f t="shared" si="4"/>
        <v>0</v>
      </c>
      <c r="CI32" t="str">
        <f t="shared" si="5"/>
        <v/>
      </c>
      <c r="CZ32">
        <v>13434828</v>
      </c>
      <c r="DA32" t="s">
        <v>108</v>
      </c>
    </row>
    <row r="33" spans="3:105" ht="15.75" x14ac:dyDescent="0.25">
      <c r="C33" t="s">
        <v>111</v>
      </c>
      <c r="CA33" t="s">
        <v>112</v>
      </c>
      <c r="CB33" t="str">
        <f>TRIM(ConnectorRotation3)</f>
        <v>0</v>
      </c>
      <c r="CC33" t="str">
        <f t="shared" si="0"/>
        <v>0</v>
      </c>
      <c r="CD33">
        <v>13434828</v>
      </c>
      <c r="CE33">
        <f t="shared" si="1"/>
        <v>13434828</v>
      </c>
      <c r="CF33">
        <f t="shared" si="2"/>
        <v>1</v>
      </c>
      <c r="CG33">
        <f t="shared" si="3"/>
        <v>0</v>
      </c>
      <c r="CH33">
        <f t="shared" si="4"/>
        <v>0</v>
      </c>
      <c r="CI33" t="str">
        <f t="shared" si="5"/>
        <v/>
      </c>
      <c r="CZ33">
        <v>13434828</v>
      </c>
      <c r="DA33" t="s">
        <v>108</v>
      </c>
    </row>
    <row r="34" spans="3:105" ht="15.75" x14ac:dyDescent="0.25">
      <c r="CA34" t="s">
        <v>113</v>
      </c>
      <c r="CB34" t="str">
        <f>TRIM(ConnectorRotation4)</f>
        <v>0</v>
      </c>
      <c r="CC34" t="str">
        <f t="shared" si="0"/>
        <v>0</v>
      </c>
      <c r="CD34">
        <v>13434828</v>
      </c>
      <c r="CE34">
        <f t="shared" si="1"/>
        <v>13434828</v>
      </c>
      <c r="CF34">
        <f t="shared" si="2"/>
        <v>1</v>
      </c>
      <c r="CG34">
        <f t="shared" si="3"/>
        <v>0</v>
      </c>
      <c r="CH34">
        <f t="shared" si="4"/>
        <v>0</v>
      </c>
      <c r="CI34" t="str">
        <f t="shared" si="5"/>
        <v/>
      </c>
      <c r="CZ34">
        <v>13434828</v>
      </c>
      <c r="DA34" t="s">
        <v>108</v>
      </c>
    </row>
    <row r="35" spans="3:105" ht="15.75" x14ac:dyDescent="0.25">
      <c r="C35" s="1" t="s">
        <v>114</v>
      </c>
      <c r="D35" s="1"/>
      <c r="CA35" t="s">
        <v>115</v>
      </c>
      <c r="CB35" t="str">
        <f>TRIM(ConnectorRotation5)</f>
        <v/>
      </c>
      <c r="CC35" t="str">
        <f t="shared" si="0"/>
        <v/>
      </c>
      <c r="CD35">
        <v>8421504</v>
      </c>
      <c r="CE35">
        <f t="shared" si="1"/>
        <v>13434828</v>
      </c>
      <c r="CF35">
        <f t="shared" si="2"/>
        <v>0</v>
      </c>
      <c r="CG35">
        <f t="shared" si="3"/>
        <v>1</v>
      </c>
      <c r="CH35">
        <f t="shared" si="4"/>
        <v>0</v>
      </c>
      <c r="CI35" t="str">
        <f t="shared" si="5"/>
        <v/>
      </c>
      <c r="CZ35">
        <v>13434828</v>
      </c>
      <c r="DA35" t="s">
        <v>108</v>
      </c>
    </row>
    <row r="36" spans="3:105" ht="15.75" x14ac:dyDescent="0.25">
      <c r="C36" t="s">
        <v>90</v>
      </c>
      <c r="CA36" t="s">
        <v>24</v>
      </c>
      <c r="CB36" t="str">
        <f>TRIM(TapeYesNo)</f>
        <v>No</v>
      </c>
      <c r="CC36" t="str">
        <f t="shared" si="0"/>
        <v>No</v>
      </c>
      <c r="CD36">
        <v>16764057</v>
      </c>
      <c r="CE36">
        <f t="shared" si="1"/>
        <v>16764057</v>
      </c>
      <c r="CF36">
        <f t="shared" si="2"/>
        <v>1</v>
      </c>
      <c r="CG36">
        <f t="shared" si="3"/>
        <v>0</v>
      </c>
      <c r="CH36">
        <f t="shared" si="4"/>
        <v>0</v>
      </c>
      <c r="CI36" t="str">
        <f t="shared" si="5"/>
        <v/>
      </c>
      <c r="CZ36">
        <v>16764057</v>
      </c>
      <c r="DA36" t="s">
        <v>116</v>
      </c>
    </row>
    <row r="37" spans="3:105" ht="15.75" x14ac:dyDescent="0.25">
      <c r="C37" t="s">
        <v>117</v>
      </c>
      <c r="CA37" t="s">
        <v>118</v>
      </c>
      <c r="CB37" t="str">
        <f>TRIM(TapeStartDistance)</f>
        <v/>
      </c>
      <c r="CC37" t="str">
        <f t="shared" si="0"/>
        <v/>
      </c>
      <c r="CD37">
        <v>8421504</v>
      </c>
      <c r="CE37">
        <f t="shared" si="1"/>
        <v>13434828</v>
      </c>
      <c r="CF37">
        <f t="shared" si="2"/>
        <v>0</v>
      </c>
      <c r="CG37">
        <f t="shared" si="3"/>
        <v>1</v>
      </c>
      <c r="CH37">
        <f t="shared" si="4"/>
        <v>0</v>
      </c>
      <c r="CI37" t="str">
        <f t="shared" si="5"/>
        <v/>
      </c>
      <c r="CZ37">
        <v>13434828</v>
      </c>
      <c r="DA37" t="s">
        <v>119</v>
      </c>
    </row>
    <row r="38" spans="3:105" ht="15.75" x14ac:dyDescent="0.25">
      <c r="C38" t="s">
        <v>120</v>
      </c>
      <c r="CA38" t="s">
        <v>121</v>
      </c>
      <c r="CB38" t="str">
        <f>TRIM(TapePitch)</f>
        <v/>
      </c>
      <c r="CC38" t="str">
        <f t="shared" si="0"/>
        <v/>
      </c>
      <c r="CD38">
        <v>8421504</v>
      </c>
      <c r="CE38">
        <f t="shared" si="1"/>
        <v>13434828</v>
      </c>
      <c r="CF38">
        <f t="shared" si="2"/>
        <v>0</v>
      </c>
      <c r="CG38">
        <f t="shared" si="3"/>
        <v>1</v>
      </c>
      <c r="CH38">
        <f t="shared" si="4"/>
        <v>0</v>
      </c>
      <c r="CI38" t="str">
        <f t="shared" si="5"/>
        <v/>
      </c>
      <c r="CZ38">
        <v>13434828</v>
      </c>
      <c r="DA38" t="s">
        <v>122</v>
      </c>
    </row>
    <row r="39" spans="3:105" ht="15.75" x14ac:dyDescent="0.25">
      <c r="C39" t="s">
        <v>123</v>
      </c>
      <c r="D39">
        <v>3.3</v>
      </c>
      <c r="CA39" t="s">
        <v>124</v>
      </c>
      <c r="CB39" t="str">
        <f>TRIM(CONN1CAVITYPITCH)</f>
        <v>8</v>
      </c>
      <c r="CC39" t="str">
        <f t="shared" si="0"/>
        <v>8</v>
      </c>
      <c r="CD39">
        <v>255</v>
      </c>
      <c r="CE39">
        <f t="shared" si="1"/>
        <v>13434828</v>
      </c>
      <c r="CF39">
        <f t="shared" si="2"/>
        <v>1</v>
      </c>
      <c r="CG39">
        <f t="shared" si="3"/>
        <v>0</v>
      </c>
      <c r="CH39">
        <f t="shared" si="4"/>
        <v>0</v>
      </c>
      <c r="CI39" t="str">
        <f t="shared" si="5"/>
        <v/>
      </c>
      <c r="CZ39">
        <v>13434828</v>
      </c>
      <c r="DA39" t="s">
        <v>125</v>
      </c>
    </row>
    <row r="40" spans="3:105" ht="15.75" x14ac:dyDescent="0.25">
      <c r="C40" t="s">
        <v>126</v>
      </c>
      <c r="D40">
        <v>3.3</v>
      </c>
      <c r="CA40" t="s">
        <v>127</v>
      </c>
      <c r="CB40" t="str">
        <f>TRIM(CONN2CAVITYPITCH)</f>
        <v/>
      </c>
      <c r="CC40" t="str">
        <f t="shared" si="0"/>
        <v/>
      </c>
      <c r="CD40">
        <v>8421504</v>
      </c>
      <c r="CE40">
        <f t="shared" si="1"/>
        <v>13434828</v>
      </c>
      <c r="CF40">
        <f t="shared" si="2"/>
        <v>0</v>
      </c>
      <c r="CG40">
        <f t="shared" si="3"/>
        <v>1</v>
      </c>
      <c r="CH40">
        <f t="shared" si="4"/>
        <v>0</v>
      </c>
      <c r="CI40" t="str">
        <f t="shared" si="5"/>
        <v/>
      </c>
      <c r="CZ40">
        <v>13434828</v>
      </c>
      <c r="DA40" t="s">
        <v>125</v>
      </c>
    </row>
    <row r="41" spans="3:105" ht="15.75" x14ac:dyDescent="0.25">
      <c r="C41" t="s">
        <v>128</v>
      </c>
      <c r="D41">
        <v>3.3</v>
      </c>
      <c r="CA41" t="s">
        <v>129</v>
      </c>
      <c r="CB41" t="str">
        <f>TRIM(J7)</f>
        <v/>
      </c>
      <c r="CC41" t="str">
        <f t="shared" si="0"/>
        <v/>
      </c>
      <c r="CD41">
        <v>8421504</v>
      </c>
      <c r="CE41">
        <f t="shared" si="1"/>
        <v>16764057</v>
      </c>
      <c r="CF41">
        <f t="shared" si="2"/>
        <v>0</v>
      </c>
      <c r="CG41">
        <f t="shared" si="3"/>
        <v>1</v>
      </c>
      <c r="CH41">
        <f t="shared" si="4"/>
        <v>0</v>
      </c>
      <c r="CI41" t="str">
        <f t="shared" si="5"/>
        <v/>
      </c>
      <c r="CZ41">
        <v>16764057</v>
      </c>
      <c r="DA41" t="s">
        <v>130</v>
      </c>
    </row>
    <row r="42" spans="3:105" ht="15.75" x14ac:dyDescent="0.25">
      <c r="C42" t="s">
        <v>131</v>
      </c>
      <c r="CA42" t="s">
        <v>132</v>
      </c>
      <c r="CB42" t="str">
        <f>TRIM(J8)</f>
        <v/>
      </c>
      <c r="CC42" t="str">
        <f t="shared" si="0"/>
        <v/>
      </c>
      <c r="CD42">
        <v>8421504</v>
      </c>
      <c r="CE42">
        <f t="shared" si="1"/>
        <v>16764057</v>
      </c>
      <c r="CF42">
        <f t="shared" si="2"/>
        <v>0</v>
      </c>
      <c r="CG42">
        <f t="shared" si="3"/>
        <v>1</v>
      </c>
      <c r="CH42">
        <f t="shared" si="4"/>
        <v>0</v>
      </c>
      <c r="CI42" t="str">
        <f t="shared" si="5"/>
        <v/>
      </c>
      <c r="CZ42">
        <v>16764057</v>
      </c>
      <c r="DA42" t="s">
        <v>130</v>
      </c>
    </row>
    <row r="43" spans="3:105" ht="15.75" x14ac:dyDescent="0.25">
      <c r="CA43" t="s">
        <v>133</v>
      </c>
      <c r="CB43" t="str">
        <f>TRIM(J9)</f>
        <v/>
      </c>
      <c r="CC43" t="str">
        <f t="shared" si="0"/>
        <v/>
      </c>
      <c r="CD43">
        <v>8421504</v>
      </c>
      <c r="CE43">
        <f t="shared" si="1"/>
        <v>16764057</v>
      </c>
      <c r="CF43">
        <f t="shared" si="2"/>
        <v>0</v>
      </c>
      <c r="CG43">
        <f t="shared" si="3"/>
        <v>1</v>
      </c>
      <c r="CH43">
        <f t="shared" si="4"/>
        <v>0</v>
      </c>
      <c r="CI43" t="str">
        <f t="shared" si="5"/>
        <v/>
      </c>
      <c r="CZ43">
        <v>16764057</v>
      </c>
      <c r="DA43" t="s">
        <v>130</v>
      </c>
    </row>
    <row r="44" spans="3:105" ht="15.75" x14ac:dyDescent="0.25">
      <c r="C44" s="1" t="s">
        <v>134</v>
      </c>
      <c r="D44" s="1"/>
      <c r="CA44" t="s">
        <v>135</v>
      </c>
      <c r="CB44" t="str">
        <f>TRIM(J10)</f>
        <v/>
      </c>
      <c r="CC44" t="str">
        <f t="shared" si="0"/>
        <v/>
      </c>
      <c r="CD44">
        <v>8421504</v>
      </c>
      <c r="CE44">
        <f t="shared" si="1"/>
        <v>16764057</v>
      </c>
      <c r="CF44">
        <f t="shared" si="2"/>
        <v>0</v>
      </c>
      <c r="CG44">
        <f t="shared" si="3"/>
        <v>1</v>
      </c>
      <c r="CH44">
        <f t="shared" si="4"/>
        <v>0</v>
      </c>
      <c r="CI44" t="str">
        <f t="shared" si="5"/>
        <v/>
      </c>
      <c r="CZ44">
        <v>16764057</v>
      </c>
      <c r="DA44" t="s">
        <v>130</v>
      </c>
    </row>
    <row r="45" spans="3:105" ht="15.75" x14ac:dyDescent="0.25">
      <c r="C45" t="s">
        <v>107</v>
      </c>
      <c r="D45">
        <v>0</v>
      </c>
    </row>
    <row r="46" spans="3:105" ht="15.75" x14ac:dyDescent="0.25">
      <c r="C46" t="s">
        <v>110</v>
      </c>
      <c r="D46">
        <v>180</v>
      </c>
    </row>
    <row r="47" spans="3:105" ht="15.75" x14ac:dyDescent="0.25">
      <c r="C47" t="s">
        <v>112</v>
      </c>
      <c r="D47">
        <v>0</v>
      </c>
    </row>
    <row r="48" spans="3:105" ht="15.75" x14ac:dyDescent="0.25">
      <c r="C48" t="s">
        <v>113</v>
      </c>
      <c r="D48">
        <v>0</v>
      </c>
    </row>
    <row r="49" spans="3:3" ht="15.75" x14ac:dyDescent="0.25">
      <c r="C49" t="s">
        <v>115</v>
      </c>
    </row>
  </sheetData>
  <mergeCells count="16">
    <mergeCell ref="N11:R11"/>
    <mergeCell ref="O5:R5"/>
    <mergeCell ref="O6:R6"/>
    <mergeCell ref="O7:R7"/>
    <mergeCell ref="O8:R8"/>
    <mergeCell ref="O9:R9"/>
    <mergeCell ref="C44:D44"/>
    <mergeCell ref="C35:D35"/>
    <mergeCell ref="B3:J3"/>
    <mergeCell ref="C5:D5"/>
    <mergeCell ref="C26:D26"/>
    <mergeCell ref="C10:D10"/>
    <mergeCell ref="F5:G5"/>
    <mergeCell ref="I5:J5"/>
    <mergeCell ref="C17:D17"/>
    <mergeCell ref="F10:G10"/>
  </mergeCells>
  <pageMargins left="0.7" right="0.7" top="0.75" bottom="0.75" header="0.3" footer="0.3"/>
  <ignoredErrors>
    <ignoredError sqref="A1:DA5 A8:DA17 A6:C6 E6:DA6 A7:C7 E7:DA7 A19:DA86 A18:C18 E18:DA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5"/>
  <sheetViews>
    <sheetView workbookViewId="0">
      <selection activeCell="A8" sqref="A2:G8"/>
    </sheetView>
  </sheetViews>
  <sheetFormatPr defaultRowHeight="15" x14ac:dyDescent="0.25"/>
  <sheetData>
    <row r="1" spans="1:11" ht="15.75" x14ac:dyDescent="0.25">
      <c r="A1" t="s">
        <v>136</v>
      </c>
      <c r="B1" t="s">
        <v>137</v>
      </c>
      <c r="C1" t="s">
        <v>138</v>
      </c>
      <c r="D1" t="s">
        <v>139</v>
      </c>
      <c r="E1" t="s">
        <v>140</v>
      </c>
      <c r="F1" t="s">
        <v>141</v>
      </c>
      <c r="G1" t="s">
        <v>142</v>
      </c>
      <c r="K1">
        <v>1</v>
      </c>
    </row>
    <row r="2" spans="1:11" ht="15.75" x14ac:dyDescent="0.25"/>
    <row r="3" spans="1:11" ht="15.75" x14ac:dyDescent="0.25"/>
    <row r="4" spans="1:11" ht="15.75" x14ac:dyDescent="0.25"/>
    <row r="5" spans="1:11" ht="15.75" x14ac:dyDescent="0.25"/>
  </sheetData>
  <pageMargins left="0.7" right="0.7" top="0.75" bottom="0.75" header="0.3" footer="0.3"/>
  <ignoredErrors>
    <ignoredError sqref="A1:J1 A9:K24 H2:K8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A1:DB15"/>
  <sheetViews>
    <sheetView workbookViewId="0">
      <selection activeCell="A7" sqref="A2:J7"/>
    </sheetView>
  </sheetViews>
  <sheetFormatPr defaultRowHeight="15" x14ac:dyDescent="0.25"/>
  <sheetData>
    <row r="1" spans="1:106" ht="15.75" x14ac:dyDescent="0.25">
      <c r="A1" t="s">
        <v>136</v>
      </c>
      <c r="B1" t="s">
        <v>137</v>
      </c>
      <c r="C1" t="s">
        <v>138</v>
      </c>
      <c r="D1" t="s">
        <v>139</v>
      </c>
      <c r="E1" t="s">
        <v>140</v>
      </c>
      <c r="F1" t="s">
        <v>141</v>
      </c>
      <c r="G1" t="s">
        <v>142</v>
      </c>
      <c r="H1" t="s">
        <v>143</v>
      </c>
      <c r="AZ1">
        <v>1</v>
      </c>
      <c r="CA1">
        <f>IFERROR(SEARCH("CABLE",E1),0)</f>
        <v>0</v>
      </c>
      <c r="CC1">
        <f>IFERROR(SEARCH("LABEL",E1),0)</f>
        <v>0</v>
      </c>
      <c r="CD1" t="s">
        <v>144</v>
      </c>
      <c r="CE1">
        <f>IFERROR(SEARCH("PLUG HOUSING",E1),0)</f>
        <v>0</v>
      </c>
      <c r="CF1" t="s">
        <v>145</v>
      </c>
      <c r="CG1">
        <f>IFERROR(SEARCH("JACK HOUSING",E1),0)</f>
        <v>0</v>
      </c>
      <c r="CH1" t="s">
        <v>146</v>
      </c>
      <c r="CR1" t="s">
        <v>147</v>
      </c>
      <c r="CS1" t="s">
        <v>144</v>
      </c>
      <c r="CT1" t="s">
        <v>146</v>
      </c>
      <c r="CV1" t="str">
        <f>CableHarnessType</f>
        <v>Single to Single</v>
      </c>
      <c r="CW1">
        <f>NumberOfPosition</f>
        <v>0</v>
      </c>
      <c r="CX1">
        <f>CableHarnessSide</f>
        <v>0</v>
      </c>
      <c r="CZ1" t="str">
        <f>IF(CV1="General","Table_General",IF(CV1="Single to Single","Table_Single_to_Single",IF(CV1="Multiple to Single","Table_Multiple_to_Single",IF(CV1="Multiple to Multiple","Table_Multiple_to_Multiple",""))))</f>
        <v>Table_Single_to_Single</v>
      </c>
      <c r="DA1">
        <v>7</v>
      </c>
      <c r="DB1" t="str">
        <f>IF(CZ1="Table_General","Table_General",IF(CZ1="Table_Single_to_Single","Table_Single_to_Single",IF(CZ1="Table_Multiple_to_Single",CONCATENATE(CZ1,"_POS_",CW1,"_",CX1),IF(CZ1="Table_Multiple_to_Multiple",CONCATENATE(CZ1,"_POS_",CW1),""))))</f>
        <v>Table_Single_to_Single</v>
      </c>
    </row>
    <row r="2" spans="1:106" ht="15.75" x14ac:dyDescent="0.25">
      <c r="CA2">
        <f t="shared" ref="CA1:CA15" si="0">IFERROR(SEARCH("CABLE",E2),0)</f>
        <v>0</v>
      </c>
      <c r="CC2">
        <f t="shared" ref="CC1:CC15" si="1">IFERROR(SEARCH("LABEL",E2),0)</f>
        <v>0</v>
      </c>
      <c r="CE2">
        <f t="shared" ref="CE1:CE15" si="2">IFERROR(SEARCH("PLUG HOUSING",E2),0)</f>
        <v>0</v>
      </c>
      <c r="CG2">
        <f t="shared" ref="CG1:CG15" si="3">IFERROR(SEARCH("JACK HOUSING",E2),0)</f>
        <v>0</v>
      </c>
      <c r="CI2">
        <f t="shared" ref="CI2:CI15" si="4">IFERROR(SEARCH("JACK HOUSING",E2),0)</f>
        <v>0</v>
      </c>
    </row>
    <row r="3" spans="1:106" ht="15.75" x14ac:dyDescent="0.25">
      <c r="CA3">
        <f t="shared" si="0"/>
        <v>0</v>
      </c>
      <c r="CC3">
        <f t="shared" si="1"/>
        <v>0</v>
      </c>
      <c r="CE3">
        <f t="shared" si="2"/>
        <v>0</v>
      </c>
      <c r="CG3">
        <f t="shared" si="3"/>
        <v>0</v>
      </c>
      <c r="CI3">
        <f t="shared" si="4"/>
        <v>0</v>
      </c>
      <c r="CP3" t="s">
        <v>149</v>
      </c>
    </row>
    <row r="4" spans="1:106" ht="15.75" x14ac:dyDescent="0.25">
      <c r="CA4">
        <f t="shared" si="0"/>
        <v>0</v>
      </c>
      <c r="CC4">
        <f t="shared" si="1"/>
        <v>0</v>
      </c>
      <c r="CE4">
        <f t="shared" si="2"/>
        <v>0</v>
      </c>
      <c r="CG4">
        <f t="shared" si="3"/>
        <v>0</v>
      </c>
      <c r="CI4">
        <f t="shared" si="4"/>
        <v>0</v>
      </c>
      <c r="CP4" t="s">
        <v>151</v>
      </c>
    </row>
    <row r="5" spans="1:106" ht="15.75" x14ac:dyDescent="0.25">
      <c r="CA5">
        <f t="shared" si="0"/>
        <v>0</v>
      </c>
      <c r="CC5">
        <f t="shared" si="1"/>
        <v>0</v>
      </c>
      <c r="CE5">
        <f t="shared" si="2"/>
        <v>0</v>
      </c>
      <c r="CG5">
        <f t="shared" si="3"/>
        <v>0</v>
      </c>
      <c r="CI5">
        <f t="shared" si="4"/>
        <v>0</v>
      </c>
    </row>
    <row r="6" spans="1:106" ht="15.75" x14ac:dyDescent="0.25">
      <c r="CA6">
        <f t="shared" si="0"/>
        <v>0</v>
      </c>
      <c r="CC6">
        <f t="shared" si="1"/>
        <v>0</v>
      </c>
      <c r="CE6">
        <f t="shared" si="2"/>
        <v>0</v>
      </c>
      <c r="CG6">
        <f t="shared" si="3"/>
        <v>0</v>
      </c>
      <c r="CI6">
        <f t="shared" si="4"/>
        <v>0</v>
      </c>
    </row>
    <row r="7" spans="1:106" ht="15.75" x14ac:dyDescent="0.25">
      <c r="CA7">
        <f t="shared" si="0"/>
        <v>0</v>
      </c>
      <c r="CC7">
        <f t="shared" si="1"/>
        <v>0</v>
      </c>
      <c r="CE7">
        <f t="shared" si="2"/>
        <v>0</v>
      </c>
      <c r="CG7">
        <f t="shared" si="3"/>
        <v>0</v>
      </c>
      <c r="CI7">
        <f t="shared" si="4"/>
        <v>0</v>
      </c>
    </row>
    <row r="8" spans="1:106" ht="15.75" x14ac:dyDescent="0.25">
      <c r="CA8">
        <f t="shared" si="0"/>
        <v>0</v>
      </c>
      <c r="CC8">
        <f t="shared" si="1"/>
        <v>0</v>
      </c>
      <c r="CE8">
        <f t="shared" si="2"/>
        <v>0</v>
      </c>
      <c r="CG8">
        <f t="shared" si="3"/>
        <v>0</v>
      </c>
      <c r="CI8">
        <f t="shared" si="4"/>
        <v>0</v>
      </c>
    </row>
    <row r="9" spans="1:106" ht="15.75" x14ac:dyDescent="0.25">
      <c r="CA9">
        <f t="shared" si="0"/>
        <v>0</v>
      </c>
      <c r="CC9">
        <f t="shared" si="1"/>
        <v>0</v>
      </c>
      <c r="CE9">
        <f t="shared" si="2"/>
        <v>0</v>
      </c>
      <c r="CG9">
        <f t="shared" si="3"/>
        <v>0</v>
      </c>
      <c r="CI9">
        <f t="shared" si="4"/>
        <v>0</v>
      </c>
    </row>
    <row r="10" spans="1:106" ht="15.75" x14ac:dyDescent="0.25">
      <c r="CA10">
        <f t="shared" si="0"/>
        <v>0</v>
      </c>
      <c r="CC10">
        <f t="shared" si="1"/>
        <v>0</v>
      </c>
      <c r="CE10">
        <f t="shared" si="2"/>
        <v>0</v>
      </c>
      <c r="CG10">
        <f t="shared" si="3"/>
        <v>0</v>
      </c>
      <c r="CI10">
        <f t="shared" si="4"/>
        <v>0</v>
      </c>
      <c r="CP10" t="s">
        <v>153</v>
      </c>
    </row>
    <row r="11" spans="1:106" ht="15.75" x14ac:dyDescent="0.25">
      <c r="CA11">
        <f t="shared" si="0"/>
        <v>0</v>
      </c>
      <c r="CC11">
        <f t="shared" si="1"/>
        <v>0</v>
      </c>
      <c r="CE11">
        <f t="shared" si="2"/>
        <v>0</v>
      </c>
      <c r="CG11">
        <f t="shared" si="3"/>
        <v>0</v>
      </c>
      <c r="CI11">
        <f t="shared" si="4"/>
        <v>0</v>
      </c>
    </row>
    <row r="12" spans="1:106" ht="15.75" x14ac:dyDescent="0.25">
      <c r="CA12">
        <f t="shared" si="0"/>
        <v>0</v>
      </c>
      <c r="CC12">
        <f t="shared" si="1"/>
        <v>0</v>
      </c>
      <c r="CE12">
        <f t="shared" si="2"/>
        <v>0</v>
      </c>
      <c r="CG12">
        <f t="shared" si="3"/>
        <v>0</v>
      </c>
      <c r="CI12">
        <f t="shared" si="4"/>
        <v>0</v>
      </c>
    </row>
    <row r="13" spans="1:106" ht="15.75" x14ac:dyDescent="0.25">
      <c r="CA13">
        <f t="shared" si="0"/>
        <v>0</v>
      </c>
      <c r="CC13">
        <f t="shared" si="1"/>
        <v>0</v>
      </c>
      <c r="CE13">
        <f t="shared" si="2"/>
        <v>0</v>
      </c>
      <c r="CG13">
        <f t="shared" si="3"/>
        <v>0</v>
      </c>
      <c r="CI13">
        <f t="shared" si="4"/>
        <v>0</v>
      </c>
    </row>
    <row r="14" spans="1:106" ht="15.75" x14ac:dyDescent="0.25">
      <c r="CA14">
        <f t="shared" si="0"/>
        <v>0</v>
      </c>
      <c r="CC14">
        <f t="shared" si="1"/>
        <v>0</v>
      </c>
      <c r="CE14">
        <f t="shared" si="2"/>
        <v>0</v>
      </c>
      <c r="CG14">
        <f t="shared" si="3"/>
        <v>0</v>
      </c>
      <c r="CI14">
        <f t="shared" si="4"/>
        <v>0</v>
      </c>
      <c r="CP14" t="s">
        <v>154</v>
      </c>
    </row>
    <row r="15" spans="1:106" ht="15.75" x14ac:dyDescent="0.25">
      <c r="CA15">
        <f t="shared" si="0"/>
        <v>0</v>
      </c>
      <c r="CC15">
        <f t="shared" si="1"/>
        <v>0</v>
      </c>
      <c r="CE15">
        <f t="shared" si="2"/>
        <v>0</v>
      </c>
      <c r="CG15">
        <f t="shared" si="3"/>
        <v>0</v>
      </c>
      <c r="CI15">
        <f t="shared" si="4"/>
        <v>0</v>
      </c>
    </row>
  </sheetData>
  <pageMargins left="0.7" right="0.7" top="0.75" bottom="0.75" header="0.3" footer="0.3"/>
  <ignoredErrors>
    <ignoredError sqref="A1:AY1 A8:DB23608 K2:DB7 BA1:BZ1 CB1 CD1 CF1 CH1:DB1" numberStoredAsText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DA5"/>
  <sheetViews>
    <sheetView workbookViewId="0">
      <selection activeCell="A6" sqref="A2:G6"/>
    </sheetView>
  </sheetViews>
  <sheetFormatPr defaultRowHeight="15" x14ac:dyDescent="0.25"/>
  <sheetData>
    <row r="1" spans="1:105" ht="15.75" x14ac:dyDescent="0.25">
      <c r="A1" t="s">
        <v>136</v>
      </c>
      <c r="B1" t="s">
        <v>137</v>
      </c>
      <c r="C1" t="s">
        <v>138</v>
      </c>
      <c r="D1" t="s">
        <v>139</v>
      </c>
      <c r="E1" t="s">
        <v>140</v>
      </c>
      <c r="F1" t="s">
        <v>141</v>
      </c>
      <c r="G1" t="s">
        <v>142</v>
      </c>
      <c r="K1">
        <v>1</v>
      </c>
      <c r="DA1">
        <v>12</v>
      </c>
    </row>
    <row r="2" spans="1:105" ht="15.75" x14ac:dyDescent="0.25"/>
    <row r="3" spans="1:105" ht="15.75" x14ac:dyDescent="0.25"/>
    <row r="4" spans="1:105" ht="15.75" x14ac:dyDescent="0.25"/>
    <row r="5" spans="1:105" ht="15.75" x14ac:dyDescent="0.25"/>
  </sheetData>
  <pageMargins left="0.7" right="0.7" top="0.75" bottom="0.75" header="0.3" footer="0.3"/>
  <ignoredErrors>
    <ignoredError sqref="A1:J1 A7:DA28 H2:DA6 L1:DA1" numberStoredAsText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A358"/>
  <sheetViews>
    <sheetView workbookViewId="0"/>
  </sheetViews>
  <sheetFormatPr defaultRowHeight="15" x14ac:dyDescent="0.25"/>
  <sheetData>
    <row r="1" spans="1:105" ht="15.75" x14ac:dyDescent="0.25">
      <c r="B1" t="s">
        <v>143</v>
      </c>
      <c r="C1" t="s">
        <v>155</v>
      </c>
      <c r="D1" t="s">
        <v>156</v>
      </c>
      <c r="E1" t="s">
        <v>157</v>
      </c>
      <c r="K1">
        <v>1</v>
      </c>
      <c r="DA1">
        <v>1</v>
      </c>
    </row>
    <row r="2" spans="1:105" ht="15.75" x14ac:dyDescent="0.25">
      <c r="A2">
        <v>1</v>
      </c>
    </row>
    <row r="12" spans="1:105" ht="15.75" x14ac:dyDescent="0.25">
      <c r="A12" t="str">
        <f>IF(B12&lt;&gt;"",A11+1,"")</f>
        <v/>
      </c>
    </row>
    <row r="17" spans="1:1" ht="15.75" x14ac:dyDescent="0.25">
      <c r="A17" t="str">
        <f t="shared" ref="A17:A80" si="0">IF(B17&lt;&gt;"",A16+1,"")</f>
        <v/>
      </c>
    </row>
    <row r="18" spans="1:1" ht="15.75" x14ac:dyDescent="0.25">
      <c r="A18" t="str">
        <f t="shared" si="0"/>
        <v/>
      </c>
    </row>
    <row r="19" spans="1:1" ht="15.75" x14ac:dyDescent="0.25">
      <c r="A19" t="str">
        <f t="shared" si="0"/>
        <v/>
      </c>
    </row>
    <row r="20" spans="1:1" ht="15.75" x14ac:dyDescent="0.25">
      <c r="A20" t="str">
        <f t="shared" si="0"/>
        <v/>
      </c>
    </row>
    <row r="21" spans="1:1" ht="15.75" x14ac:dyDescent="0.25">
      <c r="A21" t="str">
        <f t="shared" si="0"/>
        <v/>
      </c>
    </row>
    <row r="22" spans="1:1" ht="15.75" x14ac:dyDescent="0.25">
      <c r="A22" t="str">
        <f t="shared" si="0"/>
        <v/>
      </c>
    </row>
    <row r="23" spans="1:1" ht="15.75" x14ac:dyDescent="0.25">
      <c r="A23" t="str">
        <f t="shared" si="0"/>
        <v/>
      </c>
    </row>
    <row r="24" spans="1:1" ht="15.75" x14ac:dyDescent="0.25">
      <c r="A24" t="str">
        <f t="shared" si="0"/>
        <v/>
      </c>
    </row>
    <row r="25" spans="1:1" ht="15.75" x14ac:dyDescent="0.25">
      <c r="A25" t="str">
        <f t="shared" si="0"/>
        <v/>
      </c>
    </row>
    <row r="26" spans="1:1" ht="15.75" x14ac:dyDescent="0.25">
      <c r="A26" t="str">
        <f t="shared" si="0"/>
        <v/>
      </c>
    </row>
    <row r="27" spans="1:1" ht="15.75" x14ac:dyDescent="0.25">
      <c r="A27" t="str">
        <f t="shared" si="0"/>
        <v/>
      </c>
    </row>
    <row r="28" spans="1:1" ht="15.75" x14ac:dyDescent="0.25">
      <c r="A28" t="str">
        <f t="shared" si="0"/>
        <v/>
      </c>
    </row>
    <row r="29" spans="1:1" ht="15.75" x14ac:dyDescent="0.25">
      <c r="A29" t="str">
        <f t="shared" si="0"/>
        <v/>
      </c>
    </row>
    <row r="30" spans="1:1" ht="15.75" x14ac:dyDescent="0.25">
      <c r="A30" t="str">
        <f t="shared" si="0"/>
        <v/>
      </c>
    </row>
    <row r="31" spans="1:1" ht="15.75" x14ac:dyDescent="0.25">
      <c r="A31" t="str">
        <f t="shared" si="0"/>
        <v/>
      </c>
    </row>
    <row r="32" spans="1:1" ht="15.75" x14ac:dyDescent="0.25">
      <c r="A32" t="str">
        <f t="shared" si="0"/>
        <v/>
      </c>
    </row>
    <row r="33" spans="1:1" ht="15.75" x14ac:dyDescent="0.25">
      <c r="A33" t="str">
        <f t="shared" si="0"/>
        <v/>
      </c>
    </row>
    <row r="34" spans="1:1" ht="15.75" x14ac:dyDescent="0.25">
      <c r="A34" t="str">
        <f t="shared" si="0"/>
        <v/>
      </c>
    </row>
    <row r="35" spans="1:1" ht="15.75" x14ac:dyDescent="0.25">
      <c r="A35" t="str">
        <f t="shared" si="0"/>
        <v/>
      </c>
    </row>
    <row r="36" spans="1:1" ht="15.75" x14ac:dyDescent="0.25">
      <c r="A36" t="str">
        <f t="shared" si="0"/>
        <v/>
      </c>
    </row>
    <row r="37" spans="1:1" ht="15.75" x14ac:dyDescent="0.25">
      <c r="A37" t="str">
        <f t="shared" si="0"/>
        <v/>
      </c>
    </row>
    <row r="38" spans="1:1" ht="15.75" x14ac:dyDescent="0.25">
      <c r="A38" t="str">
        <f t="shared" si="0"/>
        <v/>
      </c>
    </row>
    <row r="39" spans="1:1" ht="15.75" x14ac:dyDescent="0.25">
      <c r="A39" t="str">
        <f t="shared" si="0"/>
        <v/>
      </c>
    </row>
    <row r="40" spans="1:1" ht="15.75" x14ac:dyDescent="0.25">
      <c r="A40" t="str">
        <f t="shared" si="0"/>
        <v/>
      </c>
    </row>
    <row r="41" spans="1:1" ht="15.75" x14ac:dyDescent="0.25">
      <c r="A41" t="str">
        <f t="shared" si="0"/>
        <v/>
      </c>
    </row>
    <row r="42" spans="1:1" ht="15.75" x14ac:dyDescent="0.25">
      <c r="A42" t="str">
        <f t="shared" si="0"/>
        <v/>
      </c>
    </row>
    <row r="43" spans="1:1" ht="15.75" x14ac:dyDescent="0.25">
      <c r="A43" t="str">
        <f t="shared" si="0"/>
        <v/>
      </c>
    </row>
    <row r="44" spans="1:1" ht="15.75" x14ac:dyDescent="0.25">
      <c r="A44" t="str">
        <f t="shared" si="0"/>
        <v/>
      </c>
    </row>
    <row r="45" spans="1:1" ht="15.75" x14ac:dyDescent="0.25">
      <c r="A45" t="str">
        <f t="shared" si="0"/>
        <v/>
      </c>
    </row>
    <row r="46" spans="1:1" ht="15.75" x14ac:dyDescent="0.25">
      <c r="A46" t="str">
        <f t="shared" si="0"/>
        <v/>
      </c>
    </row>
    <row r="47" spans="1:1" ht="15.75" x14ac:dyDescent="0.25">
      <c r="A47" t="str">
        <f t="shared" si="0"/>
        <v/>
      </c>
    </row>
    <row r="48" spans="1:1" ht="15.75" x14ac:dyDescent="0.25">
      <c r="A48" t="str">
        <f t="shared" si="0"/>
        <v/>
      </c>
    </row>
    <row r="49" spans="1:1" ht="15.75" x14ac:dyDescent="0.25">
      <c r="A49" t="str">
        <f t="shared" si="0"/>
        <v/>
      </c>
    </row>
    <row r="50" spans="1:1" ht="15.75" x14ac:dyDescent="0.25">
      <c r="A50" t="str">
        <f t="shared" si="0"/>
        <v/>
      </c>
    </row>
    <row r="51" spans="1:1" ht="15.75" x14ac:dyDescent="0.25">
      <c r="A51" t="str">
        <f t="shared" si="0"/>
        <v/>
      </c>
    </row>
    <row r="52" spans="1:1" ht="15.75" x14ac:dyDescent="0.25">
      <c r="A52" t="str">
        <f t="shared" si="0"/>
        <v/>
      </c>
    </row>
    <row r="53" spans="1:1" ht="15.75" x14ac:dyDescent="0.25">
      <c r="A53" t="str">
        <f t="shared" si="0"/>
        <v/>
      </c>
    </row>
    <row r="54" spans="1:1" ht="15.75" x14ac:dyDescent="0.25">
      <c r="A54" t="str">
        <f t="shared" si="0"/>
        <v/>
      </c>
    </row>
    <row r="55" spans="1:1" ht="15.75" x14ac:dyDescent="0.25">
      <c r="A55" t="str">
        <f t="shared" si="0"/>
        <v/>
      </c>
    </row>
    <row r="56" spans="1:1" ht="15.75" x14ac:dyDescent="0.25">
      <c r="A56" t="str">
        <f t="shared" si="0"/>
        <v/>
      </c>
    </row>
    <row r="57" spans="1:1" ht="15.75" x14ac:dyDescent="0.25">
      <c r="A57" t="str">
        <f t="shared" si="0"/>
        <v/>
      </c>
    </row>
    <row r="58" spans="1:1" ht="15.75" x14ac:dyDescent="0.25">
      <c r="A58" t="str">
        <f t="shared" si="0"/>
        <v/>
      </c>
    </row>
    <row r="59" spans="1:1" ht="15.75" x14ac:dyDescent="0.25">
      <c r="A59" t="str">
        <f t="shared" si="0"/>
        <v/>
      </c>
    </row>
    <row r="60" spans="1:1" ht="15.75" x14ac:dyDescent="0.25">
      <c r="A60" t="str">
        <f t="shared" si="0"/>
        <v/>
      </c>
    </row>
    <row r="61" spans="1:1" ht="15.75" x14ac:dyDescent="0.25">
      <c r="A61" t="str">
        <f t="shared" si="0"/>
        <v/>
      </c>
    </row>
    <row r="62" spans="1:1" ht="15.75" x14ac:dyDescent="0.25">
      <c r="A62" t="str">
        <f t="shared" si="0"/>
        <v/>
      </c>
    </row>
    <row r="63" spans="1:1" ht="15.75" x14ac:dyDescent="0.25">
      <c r="A63" t="str">
        <f t="shared" si="0"/>
        <v/>
      </c>
    </row>
    <row r="64" spans="1:1" ht="15.75" x14ac:dyDescent="0.25">
      <c r="A64" t="str">
        <f t="shared" si="0"/>
        <v/>
      </c>
    </row>
    <row r="65" spans="1:1" ht="15.75" x14ac:dyDescent="0.25">
      <c r="A65" t="str">
        <f t="shared" si="0"/>
        <v/>
      </c>
    </row>
    <row r="66" spans="1:1" ht="15.75" x14ac:dyDescent="0.25">
      <c r="A66" t="str">
        <f t="shared" si="0"/>
        <v/>
      </c>
    </row>
    <row r="67" spans="1:1" ht="15.75" x14ac:dyDescent="0.25">
      <c r="A67" t="str">
        <f t="shared" si="0"/>
        <v/>
      </c>
    </row>
    <row r="68" spans="1:1" ht="15.75" x14ac:dyDescent="0.25">
      <c r="A68" t="str">
        <f t="shared" si="0"/>
        <v/>
      </c>
    </row>
    <row r="69" spans="1:1" ht="15.75" x14ac:dyDescent="0.25">
      <c r="A69" t="str">
        <f t="shared" si="0"/>
        <v/>
      </c>
    </row>
    <row r="70" spans="1:1" ht="15.75" x14ac:dyDescent="0.25">
      <c r="A70" t="str">
        <f t="shared" si="0"/>
        <v/>
      </c>
    </row>
    <row r="71" spans="1:1" ht="15.75" x14ac:dyDescent="0.25">
      <c r="A71" t="str">
        <f t="shared" si="0"/>
        <v/>
      </c>
    </row>
    <row r="72" spans="1:1" ht="15.75" x14ac:dyDescent="0.25">
      <c r="A72" t="str">
        <f t="shared" si="0"/>
        <v/>
      </c>
    </row>
    <row r="73" spans="1:1" ht="15.75" x14ac:dyDescent="0.25">
      <c r="A73" t="str">
        <f t="shared" si="0"/>
        <v/>
      </c>
    </row>
    <row r="74" spans="1:1" ht="15.75" x14ac:dyDescent="0.25">
      <c r="A74" t="str">
        <f t="shared" si="0"/>
        <v/>
      </c>
    </row>
    <row r="75" spans="1:1" ht="15.75" x14ac:dyDescent="0.25">
      <c r="A75" t="str">
        <f t="shared" si="0"/>
        <v/>
      </c>
    </row>
    <row r="76" spans="1:1" ht="15.75" x14ac:dyDescent="0.25">
      <c r="A76" t="str">
        <f t="shared" si="0"/>
        <v/>
      </c>
    </row>
    <row r="77" spans="1:1" ht="15.75" x14ac:dyDescent="0.25">
      <c r="A77" t="str">
        <f t="shared" si="0"/>
        <v/>
      </c>
    </row>
    <row r="78" spans="1:1" ht="15.75" x14ac:dyDescent="0.25">
      <c r="A78" t="str">
        <f t="shared" si="0"/>
        <v/>
      </c>
    </row>
    <row r="79" spans="1:1" ht="15.75" x14ac:dyDescent="0.25">
      <c r="A79" t="str">
        <f t="shared" si="0"/>
        <v/>
      </c>
    </row>
    <row r="80" spans="1:1" ht="15.75" x14ac:dyDescent="0.25">
      <c r="A80" t="str">
        <f t="shared" si="0"/>
        <v/>
      </c>
    </row>
    <row r="81" spans="1:1" ht="15.75" x14ac:dyDescent="0.25">
      <c r="A81" t="str">
        <f t="shared" ref="A81:A144" si="1">IF(B81&lt;&gt;"",A80+1,"")</f>
        <v/>
      </c>
    </row>
    <row r="82" spans="1:1" ht="15.75" x14ac:dyDescent="0.25">
      <c r="A82" t="str">
        <f t="shared" si="1"/>
        <v/>
      </c>
    </row>
    <row r="83" spans="1:1" ht="15.75" x14ac:dyDescent="0.25">
      <c r="A83" t="str">
        <f t="shared" si="1"/>
        <v/>
      </c>
    </row>
    <row r="84" spans="1:1" ht="15.75" x14ac:dyDescent="0.25">
      <c r="A84" t="str">
        <f t="shared" si="1"/>
        <v/>
      </c>
    </row>
    <row r="85" spans="1:1" ht="15.75" x14ac:dyDescent="0.25">
      <c r="A85" t="str">
        <f t="shared" si="1"/>
        <v/>
      </c>
    </row>
    <row r="86" spans="1:1" ht="15.75" x14ac:dyDescent="0.25">
      <c r="A86" t="str">
        <f t="shared" si="1"/>
        <v/>
      </c>
    </row>
    <row r="87" spans="1:1" ht="15.75" x14ac:dyDescent="0.25">
      <c r="A87" t="str">
        <f t="shared" si="1"/>
        <v/>
      </c>
    </row>
    <row r="88" spans="1:1" ht="15.75" x14ac:dyDescent="0.25">
      <c r="A88" t="str">
        <f t="shared" si="1"/>
        <v/>
      </c>
    </row>
    <row r="89" spans="1:1" ht="15.75" x14ac:dyDescent="0.25">
      <c r="A89" t="str">
        <f t="shared" si="1"/>
        <v/>
      </c>
    </row>
    <row r="90" spans="1:1" ht="15.75" x14ac:dyDescent="0.25">
      <c r="A90" t="str">
        <f t="shared" si="1"/>
        <v/>
      </c>
    </row>
    <row r="91" spans="1:1" ht="15.75" x14ac:dyDescent="0.25">
      <c r="A91" t="str">
        <f t="shared" si="1"/>
        <v/>
      </c>
    </row>
    <row r="92" spans="1:1" ht="15.75" x14ac:dyDescent="0.25">
      <c r="A92" t="str">
        <f t="shared" si="1"/>
        <v/>
      </c>
    </row>
    <row r="93" spans="1:1" ht="15.75" x14ac:dyDescent="0.25">
      <c r="A93" t="str">
        <f t="shared" si="1"/>
        <v/>
      </c>
    </row>
    <row r="94" spans="1:1" ht="15.75" x14ac:dyDescent="0.25">
      <c r="A94" t="str">
        <f t="shared" si="1"/>
        <v/>
      </c>
    </row>
    <row r="95" spans="1:1" ht="15.75" x14ac:dyDescent="0.25">
      <c r="A95" t="str">
        <f t="shared" si="1"/>
        <v/>
      </c>
    </row>
    <row r="96" spans="1:1" ht="15.75" x14ac:dyDescent="0.25">
      <c r="A96" t="str">
        <f t="shared" si="1"/>
        <v/>
      </c>
    </row>
    <row r="97" spans="1:1" ht="15.75" x14ac:dyDescent="0.25">
      <c r="A97" t="str">
        <f t="shared" si="1"/>
        <v/>
      </c>
    </row>
    <row r="98" spans="1:1" ht="15.75" x14ac:dyDescent="0.25">
      <c r="A98" t="str">
        <f t="shared" si="1"/>
        <v/>
      </c>
    </row>
    <row r="99" spans="1:1" ht="15.75" x14ac:dyDescent="0.25">
      <c r="A99" t="str">
        <f t="shared" si="1"/>
        <v/>
      </c>
    </row>
    <row r="100" spans="1:1" ht="15.75" x14ac:dyDescent="0.25">
      <c r="A100" t="str">
        <f t="shared" si="1"/>
        <v/>
      </c>
    </row>
    <row r="101" spans="1:1" ht="15.75" x14ac:dyDescent="0.25">
      <c r="A101" t="str">
        <f t="shared" si="1"/>
        <v/>
      </c>
    </row>
    <row r="102" spans="1:1" ht="15.75" x14ac:dyDescent="0.25">
      <c r="A102" t="str">
        <f t="shared" si="1"/>
        <v/>
      </c>
    </row>
    <row r="103" spans="1:1" ht="15.75" x14ac:dyDescent="0.25">
      <c r="A103" t="str">
        <f t="shared" si="1"/>
        <v/>
      </c>
    </row>
    <row r="104" spans="1:1" ht="15.75" x14ac:dyDescent="0.25">
      <c r="A104" t="str">
        <f t="shared" si="1"/>
        <v/>
      </c>
    </row>
    <row r="105" spans="1:1" ht="15.75" x14ac:dyDescent="0.25">
      <c r="A105" t="str">
        <f t="shared" si="1"/>
        <v/>
      </c>
    </row>
    <row r="106" spans="1:1" ht="15.75" x14ac:dyDescent="0.25">
      <c r="A106" t="str">
        <f t="shared" si="1"/>
        <v/>
      </c>
    </row>
    <row r="107" spans="1:1" ht="15.75" x14ac:dyDescent="0.25">
      <c r="A107" t="str">
        <f t="shared" si="1"/>
        <v/>
      </c>
    </row>
    <row r="108" spans="1:1" ht="15.75" x14ac:dyDescent="0.25">
      <c r="A108" t="str">
        <f t="shared" si="1"/>
        <v/>
      </c>
    </row>
    <row r="109" spans="1:1" ht="15.75" x14ac:dyDescent="0.25">
      <c r="A109" t="str">
        <f t="shared" si="1"/>
        <v/>
      </c>
    </row>
    <row r="110" spans="1:1" ht="15.75" x14ac:dyDescent="0.25">
      <c r="A110" t="str">
        <f t="shared" si="1"/>
        <v/>
      </c>
    </row>
    <row r="111" spans="1:1" ht="15.75" x14ac:dyDescent="0.25">
      <c r="A111" t="str">
        <f t="shared" si="1"/>
        <v/>
      </c>
    </row>
    <row r="112" spans="1:1" ht="15.75" x14ac:dyDescent="0.25">
      <c r="A112" t="str">
        <f t="shared" si="1"/>
        <v/>
      </c>
    </row>
    <row r="113" spans="1:1" ht="15.75" x14ac:dyDescent="0.25">
      <c r="A113" t="str">
        <f t="shared" si="1"/>
        <v/>
      </c>
    </row>
    <row r="114" spans="1:1" ht="15.75" x14ac:dyDescent="0.25">
      <c r="A114" t="str">
        <f t="shared" si="1"/>
        <v/>
      </c>
    </row>
    <row r="115" spans="1:1" ht="15.75" x14ac:dyDescent="0.25">
      <c r="A115" t="str">
        <f t="shared" si="1"/>
        <v/>
      </c>
    </row>
    <row r="116" spans="1:1" ht="15.75" x14ac:dyDescent="0.25">
      <c r="A116" t="str">
        <f t="shared" si="1"/>
        <v/>
      </c>
    </row>
    <row r="117" spans="1:1" ht="15.75" x14ac:dyDescent="0.25">
      <c r="A117" t="str">
        <f t="shared" si="1"/>
        <v/>
      </c>
    </row>
    <row r="118" spans="1:1" ht="15.75" x14ac:dyDescent="0.25">
      <c r="A118" t="str">
        <f t="shared" si="1"/>
        <v/>
      </c>
    </row>
    <row r="119" spans="1:1" ht="15.75" x14ac:dyDescent="0.25">
      <c r="A119" t="str">
        <f t="shared" si="1"/>
        <v/>
      </c>
    </row>
    <row r="120" spans="1:1" ht="15.75" x14ac:dyDescent="0.25">
      <c r="A120" t="str">
        <f t="shared" si="1"/>
        <v/>
      </c>
    </row>
    <row r="121" spans="1:1" ht="15.75" x14ac:dyDescent="0.25">
      <c r="A121" t="str">
        <f t="shared" si="1"/>
        <v/>
      </c>
    </row>
    <row r="122" spans="1:1" ht="15.75" x14ac:dyDescent="0.25">
      <c r="A122" t="str">
        <f t="shared" si="1"/>
        <v/>
      </c>
    </row>
    <row r="123" spans="1:1" ht="15.75" x14ac:dyDescent="0.25">
      <c r="A123" t="str">
        <f t="shared" si="1"/>
        <v/>
      </c>
    </row>
    <row r="124" spans="1:1" ht="15.75" x14ac:dyDescent="0.25">
      <c r="A124" t="str">
        <f t="shared" si="1"/>
        <v/>
      </c>
    </row>
    <row r="125" spans="1:1" ht="15.75" x14ac:dyDescent="0.25">
      <c r="A125" t="str">
        <f t="shared" si="1"/>
        <v/>
      </c>
    </row>
    <row r="126" spans="1:1" ht="15.75" x14ac:dyDescent="0.25">
      <c r="A126" t="str">
        <f t="shared" si="1"/>
        <v/>
      </c>
    </row>
    <row r="127" spans="1:1" ht="15.75" x14ac:dyDescent="0.25">
      <c r="A127" t="str">
        <f t="shared" si="1"/>
        <v/>
      </c>
    </row>
    <row r="128" spans="1:1" ht="15.75" x14ac:dyDescent="0.25">
      <c r="A128" t="str">
        <f t="shared" si="1"/>
        <v/>
      </c>
    </row>
    <row r="129" spans="1:1" ht="15.75" x14ac:dyDescent="0.25">
      <c r="A129" t="str">
        <f t="shared" si="1"/>
        <v/>
      </c>
    </row>
    <row r="130" spans="1:1" ht="15.75" x14ac:dyDescent="0.25">
      <c r="A130" t="str">
        <f t="shared" si="1"/>
        <v/>
      </c>
    </row>
    <row r="131" spans="1:1" ht="15.75" x14ac:dyDescent="0.25">
      <c r="A131" t="str">
        <f t="shared" si="1"/>
        <v/>
      </c>
    </row>
    <row r="132" spans="1:1" ht="15.75" x14ac:dyDescent="0.25">
      <c r="A132" t="str">
        <f t="shared" si="1"/>
        <v/>
      </c>
    </row>
    <row r="133" spans="1:1" ht="15.75" x14ac:dyDescent="0.25">
      <c r="A133" t="str">
        <f t="shared" si="1"/>
        <v/>
      </c>
    </row>
    <row r="134" spans="1:1" ht="15.75" x14ac:dyDescent="0.25">
      <c r="A134" t="str">
        <f t="shared" si="1"/>
        <v/>
      </c>
    </row>
    <row r="135" spans="1:1" ht="15.75" x14ac:dyDescent="0.25">
      <c r="A135" t="str">
        <f t="shared" si="1"/>
        <v/>
      </c>
    </row>
    <row r="136" spans="1:1" ht="15.75" x14ac:dyDescent="0.25">
      <c r="A136" t="str">
        <f t="shared" si="1"/>
        <v/>
      </c>
    </row>
    <row r="137" spans="1:1" ht="15.75" x14ac:dyDescent="0.25">
      <c r="A137" t="str">
        <f t="shared" si="1"/>
        <v/>
      </c>
    </row>
    <row r="138" spans="1:1" ht="15.75" x14ac:dyDescent="0.25">
      <c r="A138" t="str">
        <f t="shared" si="1"/>
        <v/>
      </c>
    </row>
    <row r="139" spans="1:1" ht="15.75" x14ac:dyDescent="0.25">
      <c r="A139" t="str">
        <f t="shared" si="1"/>
        <v/>
      </c>
    </row>
    <row r="140" spans="1:1" ht="15.75" x14ac:dyDescent="0.25">
      <c r="A140" t="str">
        <f t="shared" si="1"/>
        <v/>
      </c>
    </row>
    <row r="141" spans="1:1" ht="15.75" x14ac:dyDescent="0.25">
      <c r="A141" t="str">
        <f t="shared" si="1"/>
        <v/>
      </c>
    </row>
    <row r="142" spans="1:1" ht="15.75" x14ac:dyDescent="0.25">
      <c r="A142" t="str">
        <f t="shared" si="1"/>
        <v/>
      </c>
    </row>
    <row r="143" spans="1:1" ht="15.75" x14ac:dyDescent="0.25">
      <c r="A143" t="str">
        <f t="shared" si="1"/>
        <v/>
      </c>
    </row>
    <row r="144" spans="1:1" ht="15.75" x14ac:dyDescent="0.25">
      <c r="A144" t="str">
        <f t="shared" si="1"/>
        <v/>
      </c>
    </row>
    <row r="145" spans="1:1" ht="15.75" x14ac:dyDescent="0.25">
      <c r="A145" t="str">
        <f t="shared" ref="A145:A208" si="2">IF(B145&lt;&gt;"",A144+1,"")</f>
        <v/>
      </c>
    </row>
    <row r="146" spans="1:1" ht="15.75" x14ac:dyDescent="0.25">
      <c r="A146" t="str">
        <f t="shared" si="2"/>
        <v/>
      </c>
    </row>
    <row r="147" spans="1:1" ht="15.75" x14ac:dyDescent="0.25">
      <c r="A147" t="str">
        <f t="shared" si="2"/>
        <v/>
      </c>
    </row>
    <row r="148" spans="1:1" ht="15.75" x14ac:dyDescent="0.25">
      <c r="A148" t="str">
        <f t="shared" si="2"/>
        <v/>
      </c>
    </row>
    <row r="149" spans="1:1" ht="15.75" x14ac:dyDescent="0.25">
      <c r="A149" t="str">
        <f t="shared" si="2"/>
        <v/>
      </c>
    </row>
    <row r="150" spans="1:1" ht="15.75" x14ac:dyDescent="0.25">
      <c r="A150" t="str">
        <f t="shared" si="2"/>
        <v/>
      </c>
    </row>
    <row r="151" spans="1:1" ht="15.75" x14ac:dyDescent="0.25">
      <c r="A151" t="str">
        <f t="shared" si="2"/>
        <v/>
      </c>
    </row>
    <row r="152" spans="1:1" ht="15.75" x14ac:dyDescent="0.25">
      <c r="A152" t="str">
        <f t="shared" si="2"/>
        <v/>
      </c>
    </row>
    <row r="153" spans="1:1" ht="15.75" x14ac:dyDescent="0.25">
      <c r="A153" t="str">
        <f t="shared" si="2"/>
        <v/>
      </c>
    </row>
    <row r="154" spans="1:1" ht="15.75" x14ac:dyDescent="0.25">
      <c r="A154" t="str">
        <f t="shared" si="2"/>
        <v/>
      </c>
    </row>
    <row r="155" spans="1:1" ht="15.75" x14ac:dyDescent="0.25">
      <c r="A155" t="str">
        <f t="shared" si="2"/>
        <v/>
      </c>
    </row>
    <row r="156" spans="1:1" ht="15.75" x14ac:dyDescent="0.25">
      <c r="A156" t="str">
        <f t="shared" si="2"/>
        <v/>
      </c>
    </row>
    <row r="157" spans="1:1" ht="15.75" x14ac:dyDescent="0.25">
      <c r="A157" t="str">
        <f t="shared" si="2"/>
        <v/>
      </c>
    </row>
    <row r="158" spans="1:1" ht="15.75" x14ac:dyDescent="0.25">
      <c r="A158" t="str">
        <f t="shared" si="2"/>
        <v/>
      </c>
    </row>
    <row r="159" spans="1:1" ht="15.75" x14ac:dyDescent="0.25">
      <c r="A159" t="str">
        <f t="shared" si="2"/>
        <v/>
      </c>
    </row>
    <row r="160" spans="1:1" ht="15.75" x14ac:dyDescent="0.25">
      <c r="A160" t="str">
        <f t="shared" si="2"/>
        <v/>
      </c>
    </row>
    <row r="161" spans="1:1" ht="15.75" x14ac:dyDescent="0.25">
      <c r="A161" t="str">
        <f t="shared" si="2"/>
        <v/>
      </c>
    </row>
    <row r="162" spans="1:1" ht="15.75" x14ac:dyDescent="0.25">
      <c r="A162" t="str">
        <f t="shared" si="2"/>
        <v/>
      </c>
    </row>
    <row r="163" spans="1:1" ht="15.75" x14ac:dyDescent="0.25">
      <c r="A163" t="str">
        <f t="shared" si="2"/>
        <v/>
      </c>
    </row>
    <row r="164" spans="1:1" ht="15.75" x14ac:dyDescent="0.25">
      <c r="A164" t="str">
        <f t="shared" si="2"/>
        <v/>
      </c>
    </row>
    <row r="165" spans="1:1" ht="15.75" x14ac:dyDescent="0.25">
      <c r="A165" t="str">
        <f t="shared" si="2"/>
        <v/>
      </c>
    </row>
    <row r="166" spans="1:1" ht="15.75" x14ac:dyDescent="0.25">
      <c r="A166" t="str">
        <f t="shared" si="2"/>
        <v/>
      </c>
    </row>
    <row r="167" spans="1:1" ht="15.75" x14ac:dyDescent="0.25">
      <c r="A167" t="str">
        <f t="shared" si="2"/>
        <v/>
      </c>
    </row>
    <row r="168" spans="1:1" ht="15.75" x14ac:dyDescent="0.25">
      <c r="A168" t="str">
        <f t="shared" si="2"/>
        <v/>
      </c>
    </row>
    <row r="169" spans="1:1" ht="15.75" x14ac:dyDescent="0.25">
      <c r="A169" t="str">
        <f t="shared" si="2"/>
        <v/>
      </c>
    </row>
    <row r="170" spans="1:1" ht="15.75" x14ac:dyDescent="0.25">
      <c r="A170" t="str">
        <f t="shared" si="2"/>
        <v/>
      </c>
    </row>
    <row r="171" spans="1:1" ht="15.75" x14ac:dyDescent="0.25">
      <c r="A171" t="str">
        <f t="shared" si="2"/>
        <v/>
      </c>
    </row>
    <row r="172" spans="1:1" ht="15.75" x14ac:dyDescent="0.25">
      <c r="A172" t="str">
        <f t="shared" si="2"/>
        <v/>
      </c>
    </row>
    <row r="173" spans="1:1" ht="15.75" x14ac:dyDescent="0.25">
      <c r="A173" t="str">
        <f t="shared" si="2"/>
        <v/>
      </c>
    </row>
    <row r="174" spans="1:1" ht="15.75" x14ac:dyDescent="0.25">
      <c r="A174" t="str">
        <f t="shared" si="2"/>
        <v/>
      </c>
    </row>
    <row r="175" spans="1:1" ht="15.75" x14ac:dyDescent="0.25">
      <c r="A175" t="str">
        <f t="shared" si="2"/>
        <v/>
      </c>
    </row>
    <row r="176" spans="1:1" ht="15.75" x14ac:dyDescent="0.25">
      <c r="A176" t="str">
        <f t="shared" si="2"/>
        <v/>
      </c>
    </row>
    <row r="177" spans="1:1" ht="15.75" x14ac:dyDescent="0.25">
      <c r="A177" t="str">
        <f t="shared" si="2"/>
        <v/>
      </c>
    </row>
    <row r="178" spans="1:1" ht="15.75" x14ac:dyDescent="0.25">
      <c r="A178" t="str">
        <f t="shared" si="2"/>
        <v/>
      </c>
    </row>
    <row r="179" spans="1:1" ht="15.75" x14ac:dyDescent="0.25">
      <c r="A179" t="str">
        <f t="shared" si="2"/>
        <v/>
      </c>
    </row>
    <row r="180" spans="1:1" ht="15.75" x14ac:dyDescent="0.25">
      <c r="A180" t="str">
        <f t="shared" si="2"/>
        <v/>
      </c>
    </row>
    <row r="181" spans="1:1" ht="15.75" x14ac:dyDescent="0.25">
      <c r="A181" t="str">
        <f t="shared" si="2"/>
        <v/>
      </c>
    </row>
    <row r="182" spans="1:1" ht="15.75" x14ac:dyDescent="0.25">
      <c r="A182" t="str">
        <f t="shared" si="2"/>
        <v/>
      </c>
    </row>
    <row r="183" spans="1:1" ht="15.75" x14ac:dyDescent="0.25">
      <c r="A183" t="str">
        <f t="shared" si="2"/>
        <v/>
      </c>
    </row>
    <row r="184" spans="1:1" ht="15.75" x14ac:dyDescent="0.25">
      <c r="A184" t="str">
        <f t="shared" si="2"/>
        <v/>
      </c>
    </row>
    <row r="185" spans="1:1" ht="15.75" x14ac:dyDescent="0.25">
      <c r="A185" t="str">
        <f t="shared" si="2"/>
        <v/>
      </c>
    </row>
    <row r="186" spans="1:1" ht="15.75" x14ac:dyDescent="0.25">
      <c r="A186" t="str">
        <f t="shared" si="2"/>
        <v/>
      </c>
    </row>
    <row r="187" spans="1:1" ht="15.75" x14ac:dyDescent="0.25">
      <c r="A187" t="str">
        <f t="shared" si="2"/>
        <v/>
      </c>
    </row>
    <row r="188" spans="1:1" ht="15.75" x14ac:dyDescent="0.25">
      <c r="A188" t="str">
        <f t="shared" si="2"/>
        <v/>
      </c>
    </row>
    <row r="189" spans="1:1" ht="15.75" x14ac:dyDescent="0.25">
      <c r="A189" t="str">
        <f t="shared" si="2"/>
        <v/>
      </c>
    </row>
    <row r="190" spans="1:1" ht="15.75" x14ac:dyDescent="0.25">
      <c r="A190" t="str">
        <f t="shared" si="2"/>
        <v/>
      </c>
    </row>
    <row r="191" spans="1:1" ht="15.75" x14ac:dyDescent="0.25">
      <c r="A191" t="str">
        <f t="shared" si="2"/>
        <v/>
      </c>
    </row>
    <row r="192" spans="1:1" ht="15.75" x14ac:dyDescent="0.25">
      <c r="A192" t="str">
        <f t="shared" si="2"/>
        <v/>
      </c>
    </row>
    <row r="193" spans="1:1" ht="15.75" x14ac:dyDescent="0.25">
      <c r="A193" t="str">
        <f t="shared" si="2"/>
        <v/>
      </c>
    </row>
    <row r="194" spans="1:1" ht="15.75" x14ac:dyDescent="0.25">
      <c r="A194" t="str">
        <f t="shared" si="2"/>
        <v/>
      </c>
    </row>
    <row r="195" spans="1:1" ht="15.75" x14ac:dyDescent="0.25">
      <c r="A195" t="str">
        <f t="shared" si="2"/>
        <v/>
      </c>
    </row>
    <row r="196" spans="1:1" ht="15.75" x14ac:dyDescent="0.25">
      <c r="A196" t="str">
        <f t="shared" si="2"/>
        <v/>
      </c>
    </row>
    <row r="197" spans="1:1" ht="15.75" x14ac:dyDescent="0.25">
      <c r="A197" t="str">
        <f t="shared" si="2"/>
        <v/>
      </c>
    </row>
    <row r="198" spans="1:1" ht="15.75" x14ac:dyDescent="0.25">
      <c r="A198" t="str">
        <f t="shared" si="2"/>
        <v/>
      </c>
    </row>
    <row r="199" spans="1:1" ht="15.75" x14ac:dyDescent="0.25">
      <c r="A199" t="str">
        <f t="shared" si="2"/>
        <v/>
      </c>
    </row>
    <row r="200" spans="1:1" ht="15.75" x14ac:dyDescent="0.25">
      <c r="A200" t="str">
        <f t="shared" si="2"/>
        <v/>
      </c>
    </row>
    <row r="201" spans="1:1" ht="15.75" x14ac:dyDescent="0.25">
      <c r="A201" t="str">
        <f t="shared" si="2"/>
        <v/>
      </c>
    </row>
    <row r="202" spans="1:1" ht="15.75" x14ac:dyDescent="0.25">
      <c r="A202" t="str">
        <f t="shared" si="2"/>
        <v/>
      </c>
    </row>
    <row r="203" spans="1:1" ht="15.75" x14ac:dyDescent="0.25">
      <c r="A203" t="str">
        <f t="shared" si="2"/>
        <v/>
      </c>
    </row>
    <row r="204" spans="1:1" ht="15.75" x14ac:dyDescent="0.25">
      <c r="A204" t="str">
        <f t="shared" si="2"/>
        <v/>
      </c>
    </row>
    <row r="205" spans="1:1" ht="15.75" x14ac:dyDescent="0.25">
      <c r="A205" t="str">
        <f t="shared" si="2"/>
        <v/>
      </c>
    </row>
    <row r="206" spans="1:1" ht="15.75" x14ac:dyDescent="0.25">
      <c r="A206" t="str">
        <f t="shared" si="2"/>
        <v/>
      </c>
    </row>
    <row r="207" spans="1:1" ht="15.75" x14ac:dyDescent="0.25">
      <c r="A207" t="str">
        <f t="shared" si="2"/>
        <v/>
      </c>
    </row>
    <row r="208" spans="1:1" ht="15.75" x14ac:dyDescent="0.25">
      <c r="A208" t="str">
        <f t="shared" si="2"/>
        <v/>
      </c>
    </row>
    <row r="209" spans="1:1" ht="15.75" x14ac:dyDescent="0.25">
      <c r="A209" t="str">
        <f t="shared" ref="A209:A272" si="3">IF(B209&lt;&gt;"",A208+1,"")</f>
        <v/>
      </c>
    </row>
    <row r="210" spans="1:1" ht="15.75" x14ac:dyDescent="0.25">
      <c r="A210" t="str">
        <f t="shared" si="3"/>
        <v/>
      </c>
    </row>
    <row r="211" spans="1:1" ht="15.75" x14ac:dyDescent="0.25">
      <c r="A211" t="str">
        <f t="shared" si="3"/>
        <v/>
      </c>
    </row>
    <row r="212" spans="1:1" ht="15.75" x14ac:dyDescent="0.25">
      <c r="A212" t="str">
        <f t="shared" si="3"/>
        <v/>
      </c>
    </row>
    <row r="213" spans="1:1" ht="15.75" x14ac:dyDescent="0.25">
      <c r="A213" t="str">
        <f t="shared" si="3"/>
        <v/>
      </c>
    </row>
    <row r="214" spans="1:1" ht="15.75" x14ac:dyDescent="0.25">
      <c r="A214" t="str">
        <f t="shared" si="3"/>
        <v/>
      </c>
    </row>
    <row r="215" spans="1:1" ht="15.75" x14ac:dyDescent="0.25">
      <c r="A215" t="str">
        <f t="shared" si="3"/>
        <v/>
      </c>
    </row>
    <row r="216" spans="1:1" ht="15.75" x14ac:dyDescent="0.25">
      <c r="A216" t="str">
        <f t="shared" si="3"/>
        <v/>
      </c>
    </row>
    <row r="217" spans="1:1" ht="15.75" x14ac:dyDescent="0.25">
      <c r="A217" t="str">
        <f t="shared" si="3"/>
        <v/>
      </c>
    </row>
    <row r="218" spans="1:1" ht="15.75" x14ac:dyDescent="0.25">
      <c r="A218" t="str">
        <f t="shared" si="3"/>
        <v/>
      </c>
    </row>
    <row r="219" spans="1:1" ht="15.75" x14ac:dyDescent="0.25">
      <c r="A219" t="str">
        <f t="shared" si="3"/>
        <v/>
      </c>
    </row>
    <row r="220" spans="1:1" ht="15.75" x14ac:dyDescent="0.25">
      <c r="A220" t="str">
        <f t="shared" si="3"/>
        <v/>
      </c>
    </row>
    <row r="221" spans="1:1" ht="15.75" x14ac:dyDescent="0.25">
      <c r="A221" t="str">
        <f t="shared" si="3"/>
        <v/>
      </c>
    </row>
    <row r="222" spans="1:1" ht="15.75" x14ac:dyDescent="0.25">
      <c r="A222" t="str">
        <f t="shared" si="3"/>
        <v/>
      </c>
    </row>
    <row r="223" spans="1:1" ht="15.75" x14ac:dyDescent="0.25">
      <c r="A223" t="str">
        <f t="shared" si="3"/>
        <v/>
      </c>
    </row>
    <row r="224" spans="1:1" ht="15.75" x14ac:dyDescent="0.25">
      <c r="A224" t="str">
        <f t="shared" si="3"/>
        <v/>
      </c>
    </row>
    <row r="225" spans="1:1" ht="15.75" x14ac:dyDescent="0.25">
      <c r="A225" t="str">
        <f t="shared" si="3"/>
        <v/>
      </c>
    </row>
    <row r="226" spans="1:1" ht="15.75" x14ac:dyDescent="0.25">
      <c r="A226" t="str">
        <f t="shared" si="3"/>
        <v/>
      </c>
    </row>
    <row r="227" spans="1:1" ht="15.75" x14ac:dyDescent="0.25">
      <c r="A227" t="str">
        <f t="shared" si="3"/>
        <v/>
      </c>
    </row>
    <row r="228" spans="1:1" ht="15.75" x14ac:dyDescent="0.25">
      <c r="A228" t="str">
        <f t="shared" si="3"/>
        <v/>
      </c>
    </row>
    <row r="229" spans="1:1" ht="15.75" x14ac:dyDescent="0.25">
      <c r="A229" t="str">
        <f t="shared" si="3"/>
        <v/>
      </c>
    </row>
    <row r="230" spans="1:1" ht="15.75" x14ac:dyDescent="0.25">
      <c r="A230" t="str">
        <f t="shared" si="3"/>
        <v/>
      </c>
    </row>
    <row r="231" spans="1:1" ht="15.75" x14ac:dyDescent="0.25">
      <c r="A231" t="str">
        <f t="shared" si="3"/>
        <v/>
      </c>
    </row>
    <row r="232" spans="1:1" ht="15.75" x14ac:dyDescent="0.25">
      <c r="A232" t="str">
        <f t="shared" si="3"/>
        <v/>
      </c>
    </row>
    <row r="233" spans="1:1" ht="15.75" x14ac:dyDescent="0.25">
      <c r="A233" t="str">
        <f t="shared" si="3"/>
        <v/>
      </c>
    </row>
    <row r="234" spans="1:1" ht="15.75" x14ac:dyDescent="0.25">
      <c r="A234" t="str">
        <f t="shared" si="3"/>
        <v/>
      </c>
    </row>
    <row r="235" spans="1:1" ht="15.75" x14ac:dyDescent="0.25">
      <c r="A235" t="str">
        <f t="shared" si="3"/>
        <v/>
      </c>
    </row>
    <row r="236" spans="1:1" ht="15.75" x14ac:dyDescent="0.25">
      <c r="A236" t="str">
        <f t="shared" si="3"/>
        <v/>
      </c>
    </row>
    <row r="237" spans="1:1" ht="15.75" x14ac:dyDescent="0.25">
      <c r="A237" t="str">
        <f t="shared" si="3"/>
        <v/>
      </c>
    </row>
    <row r="238" spans="1:1" ht="15.75" x14ac:dyDescent="0.25">
      <c r="A238" t="str">
        <f t="shared" si="3"/>
        <v/>
      </c>
    </row>
    <row r="239" spans="1:1" ht="15.75" x14ac:dyDescent="0.25">
      <c r="A239" t="str">
        <f t="shared" si="3"/>
        <v/>
      </c>
    </row>
    <row r="240" spans="1:1" ht="15.75" x14ac:dyDescent="0.25">
      <c r="A240" t="str">
        <f t="shared" si="3"/>
        <v/>
      </c>
    </row>
    <row r="241" spans="1:1" ht="15.75" x14ac:dyDescent="0.25">
      <c r="A241" t="str">
        <f t="shared" si="3"/>
        <v/>
      </c>
    </row>
    <row r="242" spans="1:1" ht="15.75" x14ac:dyDescent="0.25">
      <c r="A242" t="str">
        <f t="shared" si="3"/>
        <v/>
      </c>
    </row>
    <row r="243" spans="1:1" ht="15.75" x14ac:dyDescent="0.25">
      <c r="A243" t="str">
        <f t="shared" si="3"/>
        <v/>
      </c>
    </row>
    <row r="244" spans="1:1" ht="15.75" x14ac:dyDescent="0.25">
      <c r="A244" t="str">
        <f t="shared" si="3"/>
        <v/>
      </c>
    </row>
    <row r="245" spans="1:1" ht="15.75" x14ac:dyDescent="0.25">
      <c r="A245" t="str">
        <f t="shared" si="3"/>
        <v/>
      </c>
    </row>
    <row r="246" spans="1:1" ht="15.75" x14ac:dyDescent="0.25">
      <c r="A246" t="str">
        <f t="shared" si="3"/>
        <v/>
      </c>
    </row>
    <row r="247" spans="1:1" ht="15.75" x14ac:dyDescent="0.25">
      <c r="A247" t="str">
        <f t="shared" si="3"/>
        <v/>
      </c>
    </row>
    <row r="248" spans="1:1" ht="15.75" x14ac:dyDescent="0.25">
      <c r="A248" t="str">
        <f t="shared" si="3"/>
        <v/>
      </c>
    </row>
    <row r="249" spans="1:1" ht="15.75" x14ac:dyDescent="0.25">
      <c r="A249" t="str">
        <f t="shared" si="3"/>
        <v/>
      </c>
    </row>
    <row r="250" spans="1:1" ht="15.75" x14ac:dyDescent="0.25">
      <c r="A250" t="str">
        <f t="shared" si="3"/>
        <v/>
      </c>
    </row>
    <row r="251" spans="1:1" ht="15.75" x14ac:dyDescent="0.25">
      <c r="A251" t="str">
        <f t="shared" si="3"/>
        <v/>
      </c>
    </row>
    <row r="252" spans="1:1" ht="15.75" x14ac:dyDescent="0.25">
      <c r="A252" t="str">
        <f t="shared" si="3"/>
        <v/>
      </c>
    </row>
    <row r="253" spans="1:1" ht="15.75" x14ac:dyDescent="0.25">
      <c r="A253" t="str">
        <f t="shared" si="3"/>
        <v/>
      </c>
    </row>
    <row r="254" spans="1:1" ht="15.75" x14ac:dyDescent="0.25">
      <c r="A254" t="str">
        <f t="shared" si="3"/>
        <v/>
      </c>
    </row>
    <row r="255" spans="1:1" ht="15.75" x14ac:dyDescent="0.25">
      <c r="A255" t="str">
        <f t="shared" si="3"/>
        <v/>
      </c>
    </row>
    <row r="256" spans="1:1" ht="15.75" x14ac:dyDescent="0.25">
      <c r="A256" t="str">
        <f t="shared" si="3"/>
        <v/>
      </c>
    </row>
    <row r="257" spans="1:1" ht="15.75" x14ac:dyDescent="0.25">
      <c r="A257" t="str">
        <f t="shared" si="3"/>
        <v/>
      </c>
    </row>
    <row r="258" spans="1:1" ht="15.75" x14ac:dyDescent="0.25">
      <c r="A258" t="str">
        <f t="shared" si="3"/>
        <v/>
      </c>
    </row>
    <row r="259" spans="1:1" ht="15.75" x14ac:dyDescent="0.25">
      <c r="A259" t="str">
        <f t="shared" si="3"/>
        <v/>
      </c>
    </row>
    <row r="260" spans="1:1" ht="15.75" x14ac:dyDescent="0.25">
      <c r="A260" t="str">
        <f t="shared" si="3"/>
        <v/>
      </c>
    </row>
    <row r="261" spans="1:1" ht="15.75" x14ac:dyDescent="0.25">
      <c r="A261" t="str">
        <f t="shared" si="3"/>
        <v/>
      </c>
    </row>
    <row r="262" spans="1:1" ht="15.75" x14ac:dyDescent="0.25">
      <c r="A262" t="str">
        <f t="shared" si="3"/>
        <v/>
      </c>
    </row>
    <row r="263" spans="1:1" ht="15.75" x14ac:dyDescent="0.25">
      <c r="A263" t="str">
        <f t="shared" si="3"/>
        <v/>
      </c>
    </row>
    <row r="264" spans="1:1" ht="15.75" x14ac:dyDescent="0.25">
      <c r="A264" t="str">
        <f t="shared" si="3"/>
        <v/>
      </c>
    </row>
    <row r="265" spans="1:1" ht="15.75" x14ac:dyDescent="0.25">
      <c r="A265" t="str">
        <f t="shared" si="3"/>
        <v/>
      </c>
    </row>
    <row r="266" spans="1:1" ht="15.75" x14ac:dyDescent="0.25">
      <c r="A266" t="str">
        <f t="shared" si="3"/>
        <v/>
      </c>
    </row>
    <row r="267" spans="1:1" ht="15.75" x14ac:dyDescent="0.25">
      <c r="A267" t="str">
        <f t="shared" si="3"/>
        <v/>
      </c>
    </row>
    <row r="268" spans="1:1" ht="15.75" x14ac:dyDescent="0.25">
      <c r="A268" t="str">
        <f t="shared" si="3"/>
        <v/>
      </c>
    </row>
    <row r="269" spans="1:1" ht="15.75" x14ac:dyDescent="0.25">
      <c r="A269" t="str">
        <f t="shared" si="3"/>
        <v/>
      </c>
    </row>
    <row r="270" spans="1:1" ht="15.75" x14ac:dyDescent="0.25">
      <c r="A270" t="str">
        <f t="shared" si="3"/>
        <v/>
      </c>
    </row>
    <row r="271" spans="1:1" ht="15.75" x14ac:dyDescent="0.25">
      <c r="A271" t="str">
        <f t="shared" si="3"/>
        <v/>
      </c>
    </row>
    <row r="272" spans="1:1" ht="15.75" x14ac:dyDescent="0.25">
      <c r="A272" t="str">
        <f t="shared" si="3"/>
        <v/>
      </c>
    </row>
    <row r="273" spans="1:1" ht="15.75" x14ac:dyDescent="0.25">
      <c r="A273" t="str">
        <f t="shared" ref="A273:A336" si="4">IF(B273&lt;&gt;"",A272+1,"")</f>
        <v/>
      </c>
    </row>
    <row r="274" spans="1:1" ht="15.75" x14ac:dyDescent="0.25">
      <c r="A274" t="str">
        <f t="shared" si="4"/>
        <v/>
      </c>
    </row>
    <row r="275" spans="1:1" ht="15.75" x14ac:dyDescent="0.25">
      <c r="A275" t="str">
        <f t="shared" si="4"/>
        <v/>
      </c>
    </row>
    <row r="276" spans="1:1" ht="15.75" x14ac:dyDescent="0.25">
      <c r="A276" t="str">
        <f t="shared" si="4"/>
        <v/>
      </c>
    </row>
    <row r="277" spans="1:1" ht="15.75" x14ac:dyDescent="0.25">
      <c r="A277" t="str">
        <f t="shared" si="4"/>
        <v/>
      </c>
    </row>
    <row r="278" spans="1:1" ht="15.75" x14ac:dyDescent="0.25">
      <c r="A278" t="str">
        <f t="shared" si="4"/>
        <v/>
      </c>
    </row>
    <row r="279" spans="1:1" ht="15.75" x14ac:dyDescent="0.25">
      <c r="A279" t="str">
        <f t="shared" si="4"/>
        <v/>
      </c>
    </row>
    <row r="280" spans="1:1" ht="15.75" x14ac:dyDescent="0.25">
      <c r="A280" t="str">
        <f t="shared" si="4"/>
        <v/>
      </c>
    </row>
    <row r="281" spans="1:1" ht="15.75" x14ac:dyDescent="0.25">
      <c r="A281" t="str">
        <f t="shared" si="4"/>
        <v/>
      </c>
    </row>
    <row r="282" spans="1:1" ht="15.75" x14ac:dyDescent="0.25">
      <c r="A282" t="str">
        <f t="shared" si="4"/>
        <v/>
      </c>
    </row>
    <row r="283" spans="1:1" ht="15.75" x14ac:dyDescent="0.25">
      <c r="A283" t="str">
        <f t="shared" si="4"/>
        <v/>
      </c>
    </row>
    <row r="284" spans="1:1" ht="15.75" x14ac:dyDescent="0.25">
      <c r="A284" t="str">
        <f t="shared" si="4"/>
        <v/>
      </c>
    </row>
    <row r="285" spans="1:1" ht="15.75" x14ac:dyDescent="0.25">
      <c r="A285" t="str">
        <f t="shared" si="4"/>
        <v/>
      </c>
    </row>
    <row r="286" spans="1:1" ht="15.75" x14ac:dyDescent="0.25">
      <c r="A286" t="str">
        <f t="shared" si="4"/>
        <v/>
      </c>
    </row>
    <row r="287" spans="1:1" ht="15.75" x14ac:dyDescent="0.25">
      <c r="A287" t="str">
        <f t="shared" si="4"/>
        <v/>
      </c>
    </row>
    <row r="288" spans="1:1" ht="15.75" x14ac:dyDescent="0.25">
      <c r="A288" t="str">
        <f t="shared" si="4"/>
        <v/>
      </c>
    </row>
    <row r="289" spans="1:1" ht="15.75" x14ac:dyDescent="0.25">
      <c r="A289" t="str">
        <f t="shared" si="4"/>
        <v/>
      </c>
    </row>
    <row r="290" spans="1:1" ht="15.75" x14ac:dyDescent="0.25">
      <c r="A290" t="str">
        <f t="shared" si="4"/>
        <v/>
      </c>
    </row>
    <row r="291" spans="1:1" ht="15.75" x14ac:dyDescent="0.25">
      <c r="A291" t="str">
        <f t="shared" si="4"/>
        <v/>
      </c>
    </row>
    <row r="292" spans="1:1" ht="15.75" x14ac:dyDescent="0.25">
      <c r="A292" t="str">
        <f t="shared" si="4"/>
        <v/>
      </c>
    </row>
    <row r="293" spans="1:1" ht="15.75" x14ac:dyDescent="0.25">
      <c r="A293" t="str">
        <f t="shared" si="4"/>
        <v/>
      </c>
    </row>
    <row r="294" spans="1:1" ht="15.75" x14ac:dyDescent="0.25">
      <c r="A294" t="str">
        <f t="shared" si="4"/>
        <v/>
      </c>
    </row>
    <row r="295" spans="1:1" ht="15.75" x14ac:dyDescent="0.25">
      <c r="A295" t="str">
        <f t="shared" si="4"/>
        <v/>
      </c>
    </row>
    <row r="296" spans="1:1" ht="15.75" x14ac:dyDescent="0.25">
      <c r="A296" t="str">
        <f t="shared" si="4"/>
        <v/>
      </c>
    </row>
    <row r="297" spans="1:1" ht="15.75" x14ac:dyDescent="0.25">
      <c r="A297" t="str">
        <f t="shared" si="4"/>
        <v/>
      </c>
    </row>
    <row r="298" spans="1:1" ht="15.75" x14ac:dyDescent="0.25">
      <c r="A298" t="str">
        <f t="shared" si="4"/>
        <v/>
      </c>
    </row>
    <row r="299" spans="1:1" ht="15.75" x14ac:dyDescent="0.25">
      <c r="A299" t="str">
        <f t="shared" si="4"/>
        <v/>
      </c>
    </row>
    <row r="300" spans="1:1" ht="15.75" x14ac:dyDescent="0.25">
      <c r="A300" t="str">
        <f t="shared" si="4"/>
        <v/>
      </c>
    </row>
    <row r="301" spans="1:1" ht="15.75" x14ac:dyDescent="0.25">
      <c r="A301" t="str">
        <f t="shared" si="4"/>
        <v/>
      </c>
    </row>
    <row r="302" spans="1:1" ht="15.75" x14ac:dyDescent="0.25">
      <c r="A302" t="str">
        <f t="shared" si="4"/>
        <v/>
      </c>
    </row>
    <row r="303" spans="1:1" ht="15.75" x14ac:dyDescent="0.25">
      <c r="A303" t="str">
        <f t="shared" si="4"/>
        <v/>
      </c>
    </row>
    <row r="304" spans="1:1" ht="15.75" x14ac:dyDescent="0.25">
      <c r="A304" t="str">
        <f t="shared" si="4"/>
        <v/>
      </c>
    </row>
    <row r="305" spans="1:1" ht="15.75" x14ac:dyDescent="0.25">
      <c r="A305" t="str">
        <f t="shared" si="4"/>
        <v/>
      </c>
    </row>
    <row r="306" spans="1:1" ht="15.75" x14ac:dyDescent="0.25">
      <c r="A306" t="str">
        <f t="shared" si="4"/>
        <v/>
      </c>
    </row>
    <row r="307" spans="1:1" ht="15.75" x14ac:dyDescent="0.25">
      <c r="A307" t="str">
        <f t="shared" si="4"/>
        <v/>
      </c>
    </row>
    <row r="308" spans="1:1" ht="15.75" x14ac:dyDescent="0.25">
      <c r="A308" t="str">
        <f t="shared" si="4"/>
        <v/>
      </c>
    </row>
    <row r="309" spans="1:1" ht="15.75" x14ac:dyDescent="0.25">
      <c r="A309" t="str">
        <f t="shared" si="4"/>
        <v/>
      </c>
    </row>
    <row r="310" spans="1:1" ht="15.75" x14ac:dyDescent="0.25">
      <c r="A310" t="str">
        <f t="shared" si="4"/>
        <v/>
      </c>
    </row>
    <row r="311" spans="1:1" ht="15.75" x14ac:dyDescent="0.25">
      <c r="A311" t="str">
        <f t="shared" si="4"/>
        <v/>
      </c>
    </row>
    <row r="312" spans="1:1" ht="15.75" x14ac:dyDescent="0.25">
      <c r="A312" t="str">
        <f t="shared" si="4"/>
        <v/>
      </c>
    </row>
    <row r="313" spans="1:1" ht="15.75" x14ac:dyDescent="0.25">
      <c r="A313" t="str">
        <f t="shared" si="4"/>
        <v/>
      </c>
    </row>
    <row r="314" spans="1:1" ht="15.75" x14ac:dyDescent="0.25">
      <c r="A314" t="str">
        <f t="shared" si="4"/>
        <v/>
      </c>
    </row>
    <row r="315" spans="1:1" ht="15.75" x14ac:dyDescent="0.25">
      <c r="A315" t="str">
        <f t="shared" si="4"/>
        <v/>
      </c>
    </row>
    <row r="316" spans="1:1" ht="15.75" x14ac:dyDescent="0.25">
      <c r="A316" t="str">
        <f t="shared" si="4"/>
        <v/>
      </c>
    </row>
    <row r="317" spans="1:1" ht="15.75" x14ac:dyDescent="0.25">
      <c r="A317" t="str">
        <f t="shared" si="4"/>
        <v/>
      </c>
    </row>
    <row r="318" spans="1:1" ht="15.75" x14ac:dyDescent="0.25">
      <c r="A318" t="str">
        <f t="shared" si="4"/>
        <v/>
      </c>
    </row>
    <row r="319" spans="1:1" ht="15.75" x14ac:dyDescent="0.25">
      <c r="A319" t="str">
        <f t="shared" si="4"/>
        <v/>
      </c>
    </row>
    <row r="320" spans="1:1" ht="15.75" x14ac:dyDescent="0.25">
      <c r="A320" t="str">
        <f t="shared" si="4"/>
        <v/>
      </c>
    </row>
    <row r="321" spans="1:1" ht="15.75" x14ac:dyDescent="0.25">
      <c r="A321" t="str">
        <f t="shared" si="4"/>
        <v/>
      </c>
    </row>
    <row r="322" spans="1:1" ht="15.75" x14ac:dyDescent="0.25">
      <c r="A322" t="str">
        <f t="shared" si="4"/>
        <v/>
      </c>
    </row>
    <row r="323" spans="1:1" ht="15.75" x14ac:dyDescent="0.25">
      <c r="A323" t="str">
        <f t="shared" si="4"/>
        <v/>
      </c>
    </row>
    <row r="324" spans="1:1" ht="15.75" x14ac:dyDescent="0.25">
      <c r="A324" t="str">
        <f t="shared" si="4"/>
        <v/>
      </c>
    </row>
    <row r="325" spans="1:1" ht="15.75" x14ac:dyDescent="0.25">
      <c r="A325" t="str">
        <f t="shared" si="4"/>
        <v/>
      </c>
    </row>
    <row r="326" spans="1:1" ht="15.75" x14ac:dyDescent="0.25">
      <c r="A326" t="str">
        <f t="shared" si="4"/>
        <v/>
      </c>
    </row>
    <row r="327" spans="1:1" ht="15.75" x14ac:dyDescent="0.25">
      <c r="A327" t="str">
        <f t="shared" si="4"/>
        <v/>
      </c>
    </row>
    <row r="328" spans="1:1" ht="15.75" x14ac:dyDescent="0.25">
      <c r="A328" t="str">
        <f t="shared" si="4"/>
        <v/>
      </c>
    </row>
    <row r="329" spans="1:1" ht="15.75" x14ac:dyDescent="0.25">
      <c r="A329" t="str">
        <f t="shared" si="4"/>
        <v/>
      </c>
    </row>
    <row r="330" spans="1:1" ht="15.75" x14ac:dyDescent="0.25">
      <c r="A330" t="str">
        <f t="shared" si="4"/>
        <v/>
      </c>
    </row>
    <row r="331" spans="1:1" ht="15.75" x14ac:dyDescent="0.25">
      <c r="A331" t="str">
        <f t="shared" si="4"/>
        <v/>
      </c>
    </row>
    <row r="332" spans="1:1" ht="15.75" x14ac:dyDescent="0.25">
      <c r="A332" t="str">
        <f t="shared" si="4"/>
        <v/>
      </c>
    </row>
    <row r="333" spans="1:1" ht="15.75" x14ac:dyDescent="0.25">
      <c r="A333" t="str">
        <f t="shared" si="4"/>
        <v/>
      </c>
    </row>
    <row r="334" spans="1:1" ht="15.75" x14ac:dyDescent="0.25">
      <c r="A334" t="str">
        <f t="shared" si="4"/>
        <v/>
      </c>
    </row>
    <row r="335" spans="1:1" ht="15.75" x14ac:dyDescent="0.25">
      <c r="A335" t="str">
        <f t="shared" si="4"/>
        <v/>
      </c>
    </row>
    <row r="336" spans="1:1" ht="15.75" x14ac:dyDescent="0.25">
      <c r="A336" t="str">
        <f t="shared" si="4"/>
        <v/>
      </c>
    </row>
    <row r="337" spans="1:1" ht="15.75" x14ac:dyDescent="0.25">
      <c r="A337" t="str">
        <f t="shared" ref="A337:A400" si="5">IF(B337&lt;&gt;"",A336+1,"")</f>
        <v/>
      </c>
    </row>
    <row r="338" spans="1:1" ht="15.75" x14ac:dyDescent="0.25">
      <c r="A338" t="str">
        <f t="shared" si="5"/>
        <v/>
      </c>
    </row>
    <row r="339" spans="1:1" ht="15.75" x14ac:dyDescent="0.25">
      <c r="A339" t="str">
        <f t="shared" si="5"/>
        <v/>
      </c>
    </row>
    <row r="340" spans="1:1" ht="15.75" x14ac:dyDescent="0.25">
      <c r="A340" t="str">
        <f t="shared" si="5"/>
        <v/>
      </c>
    </row>
    <row r="341" spans="1:1" ht="15.75" x14ac:dyDescent="0.25">
      <c r="A341" t="str">
        <f t="shared" si="5"/>
        <v/>
      </c>
    </row>
    <row r="342" spans="1:1" ht="15.75" x14ac:dyDescent="0.25">
      <c r="A342" t="str">
        <f t="shared" si="5"/>
        <v/>
      </c>
    </row>
    <row r="343" spans="1:1" ht="15.75" x14ac:dyDescent="0.25">
      <c r="A343" t="str">
        <f t="shared" si="5"/>
        <v/>
      </c>
    </row>
    <row r="344" spans="1:1" ht="15.75" x14ac:dyDescent="0.25">
      <c r="A344" t="str">
        <f t="shared" si="5"/>
        <v/>
      </c>
    </row>
    <row r="345" spans="1:1" ht="15.75" x14ac:dyDescent="0.25">
      <c r="A345" t="str">
        <f t="shared" si="5"/>
        <v/>
      </c>
    </row>
    <row r="346" spans="1:1" ht="15.75" x14ac:dyDescent="0.25">
      <c r="A346" t="str">
        <f t="shared" si="5"/>
        <v/>
      </c>
    </row>
    <row r="347" spans="1:1" ht="15.75" x14ac:dyDescent="0.25">
      <c r="A347" t="str">
        <f t="shared" si="5"/>
        <v/>
      </c>
    </row>
    <row r="348" spans="1:1" ht="15.75" x14ac:dyDescent="0.25">
      <c r="A348" t="str">
        <f t="shared" si="5"/>
        <v/>
      </c>
    </row>
    <row r="349" spans="1:1" ht="15.75" x14ac:dyDescent="0.25">
      <c r="A349" t="str">
        <f t="shared" si="5"/>
        <v/>
      </c>
    </row>
    <row r="350" spans="1:1" ht="15.75" x14ac:dyDescent="0.25">
      <c r="A350" t="str">
        <f t="shared" si="5"/>
        <v/>
      </c>
    </row>
    <row r="351" spans="1:1" ht="15.75" x14ac:dyDescent="0.25">
      <c r="A351" t="str">
        <f t="shared" si="5"/>
        <v/>
      </c>
    </row>
    <row r="352" spans="1:1" ht="15.75" x14ac:dyDescent="0.25">
      <c r="A352" t="str">
        <f t="shared" si="5"/>
        <v/>
      </c>
    </row>
    <row r="353" spans="1:1" ht="15.75" x14ac:dyDescent="0.25">
      <c r="A353" t="str">
        <f t="shared" si="5"/>
        <v/>
      </c>
    </row>
    <row r="354" spans="1:1" ht="15.75" x14ac:dyDescent="0.25">
      <c r="A354" t="str">
        <f t="shared" si="5"/>
        <v/>
      </c>
    </row>
    <row r="355" spans="1:1" ht="15.75" x14ac:dyDescent="0.25">
      <c r="A355" t="str">
        <f t="shared" si="5"/>
        <v/>
      </c>
    </row>
    <row r="356" spans="1:1" ht="15.75" x14ac:dyDescent="0.25">
      <c r="A356" t="str">
        <f t="shared" si="5"/>
        <v/>
      </c>
    </row>
    <row r="357" spans="1:1" ht="15.75" x14ac:dyDescent="0.25">
      <c r="A357" t="str">
        <f t="shared" si="5"/>
        <v/>
      </c>
    </row>
    <row r="358" spans="1:1" ht="15.75" x14ac:dyDescent="0.25">
      <c r="A358" t="str">
        <f t="shared" si="5"/>
        <v/>
      </c>
    </row>
  </sheetData>
  <pageMargins left="0.7" right="0.7" top="0.75" bottom="0.75" header="0.3" footer="0.3"/>
  <ignoredErrors>
    <ignoredError sqref="A3:DA535 A1:J1 L1:CZ1 B2:DA2" numberStoredAsText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K2"/>
  <sheetViews>
    <sheetView workbookViewId="0"/>
  </sheetViews>
  <sheetFormatPr defaultRowHeight="15" x14ac:dyDescent="0.25"/>
  <sheetData>
    <row r="1" spans="1:11" ht="15.75" x14ac:dyDescent="0.25">
      <c r="A1" t="s">
        <v>158</v>
      </c>
      <c r="B1" t="s">
        <v>159</v>
      </c>
      <c r="C1" t="s">
        <v>160</v>
      </c>
      <c r="K1">
        <v>1</v>
      </c>
    </row>
    <row r="2" spans="1:11" ht="15.75" x14ac:dyDescent="0.25">
      <c r="A2">
        <v>1</v>
      </c>
    </row>
  </sheetData>
  <pageMargins left="0.7" right="0.7" top="0.75" bottom="0.75" header="0.3" footer="0.3"/>
  <ignoredErrors>
    <ignoredError sqref="B2:K2 A1:J1" numberStoredAsText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2"/>
  <sheetViews>
    <sheetView workbookViewId="0"/>
  </sheetViews>
  <sheetFormatPr defaultRowHeight="15" x14ac:dyDescent="0.25"/>
  <sheetData>
    <row r="1" spans="1:1" ht="15.75" x14ac:dyDescent="0.25">
      <c r="A1" t="s">
        <v>161</v>
      </c>
    </row>
    <row r="2" spans="1:1" ht="15.75" x14ac:dyDescent="0.25">
      <c r="A2" t="s">
        <v>162</v>
      </c>
    </row>
  </sheetData>
  <pageMargins left="0.7" right="0.7" top="0.75" bottom="0.75" header="0.3" footer="0.3"/>
  <ignoredErrors>
    <ignoredError sqref="A1:A2" numberStoredAsText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DG19"/>
  <sheetViews>
    <sheetView tabSelected="1" workbookViewId="0"/>
  </sheetViews>
  <sheetFormatPr defaultRowHeight="15" x14ac:dyDescent="0.25"/>
  <sheetData>
    <row r="1" spans="1:111" ht="15.75" x14ac:dyDescent="0.25">
      <c r="A1" t="s">
        <v>163</v>
      </c>
      <c r="C1" t="s">
        <v>164</v>
      </c>
      <c r="E1" t="s">
        <v>165</v>
      </c>
      <c r="G1" t="s">
        <v>166</v>
      </c>
      <c r="I1" t="s">
        <v>167</v>
      </c>
      <c r="K1" t="s">
        <v>168</v>
      </c>
      <c r="M1" t="s">
        <v>169</v>
      </c>
      <c r="O1" t="s">
        <v>170</v>
      </c>
      <c r="Q1" t="s">
        <v>171</v>
      </c>
      <c r="S1" t="s">
        <v>172</v>
      </c>
      <c r="U1" t="s">
        <v>173</v>
      </c>
      <c r="W1" t="s">
        <v>174</v>
      </c>
      <c r="X1" t="s">
        <v>175</v>
      </c>
      <c r="Y1" t="s">
        <v>176</v>
      </c>
      <c r="Z1" t="s">
        <v>177</v>
      </c>
      <c r="AA1" t="s">
        <v>178</v>
      </c>
      <c r="AB1" t="s">
        <v>179</v>
      </c>
      <c r="AC1" t="s">
        <v>180</v>
      </c>
      <c r="AD1" t="s">
        <v>181</v>
      </c>
      <c r="AE1" t="s">
        <v>182</v>
      </c>
      <c r="AF1" t="s">
        <v>183</v>
      </c>
      <c r="AH1" t="s">
        <v>184</v>
      </c>
      <c r="DG1">
        <f>'General Lists'!CG2</f>
        <v>0</v>
      </c>
    </row>
    <row r="2" spans="1:111" ht="15.75" x14ac:dyDescent="0.25">
      <c r="A2" t="s">
        <v>96</v>
      </c>
      <c r="C2" t="s">
        <v>26</v>
      </c>
      <c r="E2">
        <v>1</v>
      </c>
      <c r="G2" t="s">
        <v>185</v>
      </c>
      <c r="I2" t="s">
        <v>64</v>
      </c>
      <c r="K2" t="s">
        <v>186</v>
      </c>
      <c r="M2" t="s">
        <v>187</v>
      </c>
      <c r="O2" t="s">
        <v>54</v>
      </c>
      <c r="Q2" t="s">
        <v>58</v>
      </c>
      <c r="S2" t="s">
        <v>188</v>
      </c>
      <c r="U2" t="s">
        <v>129</v>
      </c>
      <c r="W2" t="s">
        <v>148</v>
      </c>
      <c r="X2" t="s">
        <v>189</v>
      </c>
      <c r="Y2" t="s">
        <v>189</v>
      </c>
      <c r="Z2" t="s">
        <v>189</v>
      </c>
      <c r="AA2" t="s">
        <v>189</v>
      </c>
      <c r="AB2" t="s">
        <v>189</v>
      </c>
      <c r="AC2" t="s">
        <v>189</v>
      </c>
      <c r="AD2" t="s">
        <v>189</v>
      </c>
      <c r="AE2" t="s">
        <v>189</v>
      </c>
      <c r="AF2" t="s">
        <v>189</v>
      </c>
      <c r="AH2" t="s">
        <v>152</v>
      </c>
    </row>
    <row r="3" spans="1:111" ht="15.75" x14ac:dyDescent="0.25">
      <c r="A3" t="s">
        <v>190</v>
      </c>
      <c r="C3" t="s">
        <v>27</v>
      </c>
      <c r="E3">
        <v>2</v>
      </c>
      <c r="G3" t="s">
        <v>25</v>
      </c>
      <c r="I3" t="s">
        <v>152</v>
      </c>
      <c r="K3" t="s">
        <v>191</v>
      </c>
      <c r="M3" t="s">
        <v>28</v>
      </c>
      <c r="O3" t="s">
        <v>192</v>
      </c>
      <c r="Q3" t="s">
        <v>193</v>
      </c>
      <c r="S3" t="s">
        <v>194</v>
      </c>
      <c r="U3" t="s">
        <v>132</v>
      </c>
      <c r="W3" t="s">
        <v>150</v>
      </c>
      <c r="X3" t="s">
        <v>195</v>
      </c>
      <c r="Y3" t="s">
        <v>196</v>
      </c>
      <c r="Z3" t="s">
        <v>195</v>
      </c>
      <c r="AA3" t="s">
        <v>196</v>
      </c>
      <c r="AB3" t="s">
        <v>195</v>
      </c>
      <c r="AC3" t="s">
        <v>196</v>
      </c>
      <c r="AD3" t="s">
        <v>195</v>
      </c>
      <c r="AE3" t="s">
        <v>195</v>
      </c>
      <c r="AF3" t="s">
        <v>195</v>
      </c>
    </row>
    <row r="4" spans="1:111" ht="15.75" x14ac:dyDescent="0.25">
      <c r="A4" t="s">
        <v>197</v>
      </c>
      <c r="E4">
        <v>3</v>
      </c>
      <c r="K4" t="s">
        <v>198</v>
      </c>
      <c r="M4" t="s">
        <v>49</v>
      </c>
      <c r="U4" t="s">
        <v>133</v>
      </c>
      <c r="W4" t="s">
        <v>152</v>
      </c>
      <c r="X4" t="s">
        <v>199</v>
      </c>
      <c r="Y4" t="s">
        <v>200</v>
      </c>
      <c r="Z4" t="s">
        <v>201</v>
      </c>
      <c r="AA4" t="s">
        <v>202</v>
      </c>
      <c r="AB4" t="s">
        <v>201</v>
      </c>
      <c r="AC4" t="s">
        <v>202</v>
      </c>
      <c r="AD4" t="s">
        <v>199</v>
      </c>
      <c r="AE4" t="s">
        <v>201</v>
      </c>
      <c r="AF4" t="s">
        <v>201</v>
      </c>
    </row>
    <row r="5" spans="1:111" ht="15.75" x14ac:dyDescent="0.25">
      <c r="A5" t="s">
        <v>203</v>
      </c>
      <c r="E5">
        <v>4</v>
      </c>
      <c r="K5" t="s">
        <v>204</v>
      </c>
      <c r="U5" t="s">
        <v>135</v>
      </c>
      <c r="X5" t="s">
        <v>205</v>
      </c>
      <c r="Y5" t="s">
        <v>205</v>
      </c>
      <c r="Z5" t="s">
        <v>199</v>
      </c>
      <c r="AA5" t="s">
        <v>206</v>
      </c>
      <c r="AB5" t="s">
        <v>207</v>
      </c>
      <c r="AC5" t="s">
        <v>208</v>
      </c>
      <c r="AD5" t="s">
        <v>196</v>
      </c>
      <c r="AE5" t="s">
        <v>199</v>
      </c>
      <c r="AF5" t="s">
        <v>207</v>
      </c>
      <c r="CF5" t="str">
        <f>IF(CF2="General",#REF!,"")</f>
        <v/>
      </c>
    </row>
    <row r="6" spans="1:111" ht="15.75" x14ac:dyDescent="0.25">
      <c r="K6" t="s">
        <v>209</v>
      </c>
      <c r="X6" t="s">
        <v>152</v>
      </c>
      <c r="Y6" t="s">
        <v>152</v>
      </c>
      <c r="Z6" t="s">
        <v>205</v>
      </c>
      <c r="AA6" t="s">
        <v>210</v>
      </c>
      <c r="AB6" t="s">
        <v>199</v>
      </c>
      <c r="AC6" t="s">
        <v>211</v>
      </c>
      <c r="AD6" t="s">
        <v>152</v>
      </c>
      <c r="AE6" t="s">
        <v>196</v>
      </c>
      <c r="AF6" t="s">
        <v>199</v>
      </c>
    </row>
    <row r="7" spans="1:111" ht="15.75" x14ac:dyDescent="0.25">
      <c r="K7" t="s">
        <v>212</v>
      </c>
      <c r="Z7" t="s">
        <v>213</v>
      </c>
      <c r="AA7" t="s">
        <v>213</v>
      </c>
      <c r="AB7" t="s">
        <v>205</v>
      </c>
      <c r="AC7" t="s">
        <v>214</v>
      </c>
      <c r="AE7" t="s">
        <v>215</v>
      </c>
      <c r="AF7" t="s">
        <v>196</v>
      </c>
    </row>
    <row r="8" spans="1:111" ht="15.75" x14ac:dyDescent="0.25">
      <c r="K8" t="s">
        <v>216</v>
      </c>
      <c r="Z8" t="s">
        <v>152</v>
      </c>
      <c r="AA8" t="s">
        <v>152</v>
      </c>
      <c r="AB8" t="s">
        <v>213</v>
      </c>
      <c r="AC8" t="s">
        <v>217</v>
      </c>
      <c r="AE8" t="s">
        <v>152</v>
      </c>
      <c r="AF8" t="s">
        <v>215</v>
      </c>
    </row>
    <row r="9" spans="1:111" ht="15.75" x14ac:dyDescent="0.25">
      <c r="K9" t="s">
        <v>218</v>
      </c>
      <c r="AB9" t="s">
        <v>219</v>
      </c>
      <c r="AC9" t="s">
        <v>219</v>
      </c>
      <c r="AF9" t="s">
        <v>220</v>
      </c>
    </row>
    <row r="10" spans="1:111" ht="15.75" x14ac:dyDescent="0.25">
      <c r="K10" t="s">
        <v>221</v>
      </c>
      <c r="AB10" t="s">
        <v>152</v>
      </c>
      <c r="AC10" t="s">
        <v>152</v>
      </c>
      <c r="AF10" t="s">
        <v>152</v>
      </c>
    </row>
    <row r="11" spans="1:111" ht="15.75" x14ac:dyDescent="0.25">
      <c r="K11" t="s">
        <v>222</v>
      </c>
    </row>
    <row r="12" spans="1:111" ht="15.75" x14ac:dyDescent="0.25">
      <c r="K12" t="s">
        <v>223</v>
      </c>
    </row>
    <row r="13" spans="1:111" ht="15.75" x14ac:dyDescent="0.25">
      <c r="K13" t="s">
        <v>224</v>
      </c>
    </row>
    <row r="14" spans="1:111" ht="15.75" x14ac:dyDescent="0.25">
      <c r="K14" t="s">
        <v>225</v>
      </c>
    </row>
    <row r="15" spans="1:111" ht="15.75" x14ac:dyDescent="0.25">
      <c r="K15" t="s">
        <v>226</v>
      </c>
    </row>
    <row r="16" spans="1:111" ht="15.75" x14ac:dyDescent="0.25">
      <c r="K16" t="s">
        <v>227</v>
      </c>
    </row>
    <row r="17" spans="4:11" ht="15.75" x14ac:dyDescent="0.25">
      <c r="K17" t="s">
        <v>228</v>
      </c>
    </row>
    <row r="19" spans="4:11" ht="15.75" x14ac:dyDescent="0.25">
      <c r="D19" t="s">
        <v>26</v>
      </c>
    </row>
  </sheetData>
  <pageMargins left="0.7" right="0.7" top="0.75" bottom="0.75" header="0.3" footer="0.3"/>
  <ignoredErrors>
    <ignoredError sqref="A1:DG1 A5:DG23 A2:AG2 AI2:DG2 A3:AG3 AI3:DG3 A4:AG4 AI4:DG4" numberStoredAsText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B3:P50"/>
  <sheetViews>
    <sheetView workbookViewId="0"/>
  </sheetViews>
  <sheetFormatPr defaultRowHeight="15" x14ac:dyDescent="0.25"/>
  <sheetData>
    <row r="3" spans="2:16" ht="15.75" x14ac:dyDescent="0.25">
      <c r="B3" s="1" t="s">
        <v>11</v>
      </c>
      <c r="C3" s="1"/>
      <c r="D3" s="1"/>
      <c r="E3" s="1"/>
      <c r="F3" s="1"/>
      <c r="G3" s="1"/>
      <c r="H3" s="1"/>
      <c r="I3" s="1"/>
      <c r="J3" s="1"/>
      <c r="K3" t="s">
        <v>12</v>
      </c>
      <c r="L3">
        <v>0</v>
      </c>
      <c r="O3" s="1"/>
      <c r="P3" s="1"/>
    </row>
    <row r="5" spans="2:16" ht="15.75" x14ac:dyDescent="0.25">
      <c r="C5" s="1" t="s">
        <v>17</v>
      </c>
      <c r="D5" s="1"/>
      <c r="F5" s="1" t="s">
        <v>18</v>
      </c>
      <c r="G5" s="1"/>
      <c r="I5" s="1" t="s">
        <v>173</v>
      </c>
      <c r="J5" s="1"/>
    </row>
    <row r="6" spans="2:16" ht="15.75" x14ac:dyDescent="0.25">
      <c r="C6" t="s">
        <v>9</v>
      </c>
      <c r="F6" t="s">
        <v>24</v>
      </c>
      <c r="G6" t="s">
        <v>25</v>
      </c>
      <c r="I6" t="s">
        <v>229</v>
      </c>
      <c r="J6" t="s">
        <v>230</v>
      </c>
    </row>
    <row r="7" spans="2:16" ht="15.75" x14ac:dyDescent="0.25">
      <c r="C7" t="s">
        <v>13</v>
      </c>
      <c r="F7" t="s">
        <v>118</v>
      </c>
    </row>
    <row r="8" spans="2:16" ht="15.75" x14ac:dyDescent="0.25">
      <c r="C8" t="s">
        <v>15</v>
      </c>
      <c r="D8" t="s">
        <v>36</v>
      </c>
      <c r="F8" t="s">
        <v>121</v>
      </c>
    </row>
    <row r="9" spans="2:16" ht="15.75" x14ac:dyDescent="0.25">
      <c r="I9" t="s">
        <v>133</v>
      </c>
    </row>
    <row r="10" spans="2:16" ht="15.75" x14ac:dyDescent="0.25">
      <c r="C10" s="1" t="s">
        <v>45</v>
      </c>
      <c r="D10" s="1"/>
      <c r="F10" s="1" t="s">
        <v>46</v>
      </c>
      <c r="G10" s="1"/>
    </row>
    <row r="11" spans="2:16" ht="15.75" x14ac:dyDescent="0.25">
      <c r="C11" t="s">
        <v>22</v>
      </c>
      <c r="D11" t="s">
        <v>49</v>
      </c>
      <c r="F11" t="s">
        <v>124</v>
      </c>
      <c r="G11">
        <v>8</v>
      </c>
    </row>
    <row r="12" spans="2:16" ht="15.75" x14ac:dyDescent="0.25">
      <c r="C12" t="s">
        <v>30</v>
      </c>
      <c r="D12" t="s">
        <v>54</v>
      </c>
      <c r="F12" t="s">
        <v>127</v>
      </c>
    </row>
    <row r="13" spans="2:16" ht="15.75" x14ac:dyDescent="0.25">
      <c r="C13" t="s">
        <v>34</v>
      </c>
      <c r="D13" t="s">
        <v>58</v>
      </c>
    </row>
    <row r="14" spans="2:16" ht="15.75" x14ac:dyDescent="0.25">
      <c r="C14" t="s">
        <v>40</v>
      </c>
      <c r="D14">
        <v>200</v>
      </c>
    </row>
    <row r="15" spans="2:16" ht="15.75" x14ac:dyDescent="0.25">
      <c r="C15" t="s">
        <v>43</v>
      </c>
      <c r="D15" t="s">
        <v>64</v>
      </c>
    </row>
    <row r="17" spans="3:4" ht="15.75" x14ac:dyDescent="0.25">
      <c r="C17" s="1" t="s">
        <v>69</v>
      </c>
      <c r="D17" s="1"/>
    </row>
    <row r="18" spans="3:4" ht="15.75" x14ac:dyDescent="0.25">
      <c r="C18" t="s">
        <v>47</v>
      </c>
    </row>
    <row r="19" spans="3:4" ht="15.75" x14ac:dyDescent="0.25">
      <c r="C19" t="s">
        <v>52</v>
      </c>
      <c r="D19" t="s">
        <v>74</v>
      </c>
    </row>
    <row r="20" spans="3:4" ht="15.75" x14ac:dyDescent="0.25">
      <c r="C20" t="s">
        <v>56</v>
      </c>
      <c r="D20" t="s">
        <v>74</v>
      </c>
    </row>
    <row r="21" spans="3:4" ht="15.75" x14ac:dyDescent="0.25">
      <c r="C21" t="s">
        <v>59</v>
      </c>
      <c r="D21" t="s">
        <v>79</v>
      </c>
    </row>
    <row r="22" spans="3:4" ht="15.75" x14ac:dyDescent="0.25">
      <c r="C22" t="s">
        <v>62</v>
      </c>
      <c r="D22" s="2">
        <v>44575</v>
      </c>
    </row>
    <row r="23" spans="3:4" ht="15.75" x14ac:dyDescent="0.25">
      <c r="C23" t="s">
        <v>65</v>
      </c>
      <c r="D23" s="2">
        <v>44575</v>
      </c>
    </row>
    <row r="24" spans="3:4" ht="15.75" x14ac:dyDescent="0.25">
      <c r="C24" t="s">
        <v>67</v>
      </c>
      <c r="D24" s="2">
        <v>44575</v>
      </c>
    </row>
    <row r="26" spans="3:4" ht="15.75" x14ac:dyDescent="0.25">
      <c r="C26" s="1" t="s">
        <v>11</v>
      </c>
      <c r="D26" s="1"/>
    </row>
    <row r="27" spans="3:4" ht="15.75" x14ac:dyDescent="0.25">
      <c r="C27" t="s">
        <v>70</v>
      </c>
      <c r="D27" t="s">
        <v>96</v>
      </c>
    </row>
    <row r="28" spans="3:4" ht="15.75" x14ac:dyDescent="0.25">
      <c r="C28" t="s">
        <v>72</v>
      </c>
    </row>
    <row r="29" spans="3:4" ht="15.75" x14ac:dyDescent="0.25">
      <c r="C29" t="s">
        <v>75</v>
      </c>
    </row>
    <row r="30" spans="3:4" ht="15.75" x14ac:dyDescent="0.25">
      <c r="C30" t="s">
        <v>77</v>
      </c>
      <c r="D30">
        <v>3650</v>
      </c>
    </row>
    <row r="31" spans="3:4" ht="15.75" x14ac:dyDescent="0.25">
      <c r="C31" t="s">
        <v>80</v>
      </c>
    </row>
    <row r="32" spans="3:4" ht="15.75" x14ac:dyDescent="0.25">
      <c r="C32" t="s">
        <v>84</v>
      </c>
    </row>
    <row r="33" spans="3:4" ht="15.75" x14ac:dyDescent="0.25">
      <c r="C33" t="s">
        <v>87</v>
      </c>
    </row>
    <row r="35" spans="3:4" ht="15.75" x14ac:dyDescent="0.25">
      <c r="C35" s="1" t="s">
        <v>114</v>
      </c>
      <c r="D35" s="1"/>
    </row>
    <row r="36" spans="3:4" ht="15.75" x14ac:dyDescent="0.25">
      <c r="C36" t="s">
        <v>90</v>
      </c>
    </row>
    <row r="37" spans="3:4" ht="15.75" x14ac:dyDescent="0.25">
      <c r="C37" t="s">
        <v>92</v>
      </c>
    </row>
    <row r="38" spans="3:4" ht="15.75" x14ac:dyDescent="0.25">
      <c r="C38" t="s">
        <v>94</v>
      </c>
    </row>
    <row r="39" spans="3:4" ht="15.75" x14ac:dyDescent="0.25">
      <c r="C39" t="s">
        <v>97</v>
      </c>
      <c r="D39">
        <v>3.3</v>
      </c>
    </row>
    <row r="40" spans="3:4" ht="15.75" x14ac:dyDescent="0.25">
      <c r="C40" t="s">
        <v>99</v>
      </c>
      <c r="D40">
        <v>3.3</v>
      </c>
    </row>
    <row r="41" spans="3:4" ht="15.75" x14ac:dyDescent="0.25">
      <c r="C41" t="s">
        <v>101</v>
      </c>
    </row>
    <row r="42" spans="3:4" ht="15.75" x14ac:dyDescent="0.25">
      <c r="C42" t="s">
        <v>104</v>
      </c>
    </row>
    <row r="44" spans="3:4" ht="15.75" x14ac:dyDescent="0.25">
      <c r="C44" s="1" t="s">
        <v>134</v>
      </c>
      <c r="D44" s="1"/>
    </row>
    <row r="45" spans="3:4" ht="15.75" x14ac:dyDescent="0.25">
      <c r="C45" t="s">
        <v>231</v>
      </c>
      <c r="D45">
        <v>0</v>
      </c>
    </row>
    <row r="46" spans="3:4" ht="15.75" x14ac:dyDescent="0.25">
      <c r="C46" t="s">
        <v>232</v>
      </c>
      <c r="D46">
        <v>180</v>
      </c>
    </row>
    <row r="47" spans="3:4" ht="15.75" x14ac:dyDescent="0.25">
      <c r="C47" t="s">
        <v>233</v>
      </c>
      <c r="D47">
        <v>0</v>
      </c>
    </row>
    <row r="48" spans="3:4" ht="15.75" x14ac:dyDescent="0.25">
      <c r="C48" t="s">
        <v>234</v>
      </c>
      <c r="D48">
        <v>0</v>
      </c>
    </row>
    <row r="49" spans="3:4" ht="15.75" x14ac:dyDescent="0.25">
      <c r="C49" t="s">
        <v>235</v>
      </c>
    </row>
    <row r="50" spans="3:4" ht="15.75" x14ac:dyDescent="0.25">
      <c r="D50" t="s">
        <v>236</v>
      </c>
    </row>
  </sheetData>
  <mergeCells count="11">
    <mergeCell ref="F10:G10"/>
    <mergeCell ref="C10:D10"/>
    <mergeCell ref="C26:D26"/>
    <mergeCell ref="C35:D35"/>
    <mergeCell ref="C44:D44"/>
    <mergeCell ref="C17:D17"/>
    <mergeCell ref="B3:J3"/>
    <mergeCell ref="O3:P3"/>
    <mergeCell ref="C5:D5"/>
    <mergeCell ref="F5:G5"/>
    <mergeCell ref="I5:J5"/>
  </mergeCells>
  <pageMargins left="0.7" right="0.7" top="0.75" bottom="0.75" header="0.3" footer="0.3"/>
  <ignoredErrors>
    <ignoredError sqref="A1:AH5 A9:AH10 A6:C6 E6:F6 A7:C7 E7:F7 A8:C8 E8:F8 A16:AH17 A11:C11 E11:F11 A12:C12 E12:F12 A13:C13 E13:AH13 A14:C14 E14:AH14 A15:C15 E15:AH15 A25:AH26 A18:C18 E18:AH18 A19:C19 E19:AH19 A20:C20 E20:AH20 A21:C21 E21:AH21 A22:C22 E22:AH22 A23:C23 E23:AH23 A24:C24 E24:AH24 A34:AH35 A27:C27 E27:AH27 A28:C28 E28:AH28 A29:C29 E29:AH29 A30:C30 E30:AH30 A31:C31 E31:AH31 A32:C32 E32:AH32 A33:C33 E33:AH33 A41:AH42 A36:C36 E36:AH36 A37:C37 E37:AH37 A38:C38 E38:AH38 A39:C39 E39:AH39 A40:C40 E40:AH40 A50:AH175 A43:C43 E43:AH43 A44:C44 E44:AH44 A45:C45 E45:AH45 A46:C46 E46:AH46 A47:C47 E47:AH47 A48:C48 E48:AH48 A49:C49 E49:AH49 H6:AH6 H7 H8 H11:AH11 H12:AH12 K7:AH7 K8:AH8" numberStoredAsText="1"/>
  </ignoredErrors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170</vt:i4>
      </vt:variant>
    </vt:vector>
  </HeadingPairs>
  <TitlesOfParts>
    <vt:vector size="179" baseType="lpstr">
      <vt:lpstr>Cable Harness Configuration</vt:lpstr>
      <vt:lpstr>P-DRAWING BOM</vt:lpstr>
      <vt:lpstr>MODEL BOM</vt:lpstr>
      <vt:lpstr>C-DRAWING BOM</vt:lpstr>
      <vt:lpstr>Co-ordinates_Points</vt:lpstr>
      <vt:lpstr>Pin Out Chart General</vt:lpstr>
      <vt:lpstr>Sheet1</vt:lpstr>
      <vt:lpstr>General Lists</vt:lpstr>
      <vt:lpstr>Reference</vt:lpstr>
      <vt:lpstr>Approved_By</vt:lpstr>
      <vt:lpstr>Approved_Date</vt:lpstr>
      <vt:lpstr>Approved_Dtae</vt:lpstr>
      <vt:lpstr>Reference!AssemblyName</vt:lpstr>
      <vt:lpstr>AssemblyName</vt:lpstr>
      <vt:lpstr>CABLE_LABEL_PARTS</vt:lpstr>
      <vt:lpstr>CABLE_PART</vt:lpstr>
      <vt:lpstr>CABLE_SEARCH_COLUMN</vt:lpstr>
      <vt:lpstr>Reference!CableHarnessSide</vt:lpstr>
      <vt:lpstr>CableHarnessSide</vt:lpstr>
      <vt:lpstr>Reference!CableHarnessType</vt:lpstr>
      <vt:lpstr>CableHarnessType</vt:lpstr>
      <vt:lpstr>CavAInsertDesc</vt:lpstr>
      <vt:lpstr>CavAInsertMtl</vt:lpstr>
      <vt:lpstr>CavAInsertName</vt:lpstr>
      <vt:lpstr>CavAInsertPN</vt:lpstr>
      <vt:lpstr>CavBInsertDesc</vt:lpstr>
      <vt:lpstr>CavBInsertMtl</vt:lpstr>
      <vt:lpstr>CavBInsertName</vt:lpstr>
      <vt:lpstr>CavBInsertPN</vt:lpstr>
      <vt:lpstr>CavCInsertDesc</vt:lpstr>
      <vt:lpstr>CavCInsertMtl</vt:lpstr>
      <vt:lpstr>CavCInsertName</vt:lpstr>
      <vt:lpstr>CavCInsertPN</vt:lpstr>
      <vt:lpstr>CavDInsertDesc</vt:lpstr>
      <vt:lpstr>CavDInsertMtl</vt:lpstr>
      <vt:lpstr>CavDInsertName</vt:lpstr>
      <vt:lpstr>CavDInsertPN</vt:lpstr>
      <vt:lpstr>CavEInsertDesc</vt:lpstr>
      <vt:lpstr>CavEInsertMtl</vt:lpstr>
      <vt:lpstr>CavEInsertName</vt:lpstr>
      <vt:lpstr>CavEInsertPN</vt:lpstr>
      <vt:lpstr>CavFInsertDesc</vt:lpstr>
      <vt:lpstr>CavFInsertMtl</vt:lpstr>
      <vt:lpstr>CavFInsertName</vt:lpstr>
      <vt:lpstr>CavFInsertPN</vt:lpstr>
      <vt:lpstr>Reference!CavityCInsert</vt:lpstr>
      <vt:lpstr>CavityCInsert</vt:lpstr>
      <vt:lpstr>Reference!CavityDInsert</vt:lpstr>
      <vt:lpstr>CavityDInsert</vt:lpstr>
      <vt:lpstr>Reference!CavityEInsert</vt:lpstr>
      <vt:lpstr>CavityEInsert</vt:lpstr>
      <vt:lpstr>Reference!CavityFInsert</vt:lpstr>
      <vt:lpstr>CavityFInsert</vt:lpstr>
      <vt:lpstr>Checked_by</vt:lpstr>
      <vt:lpstr>Checked_Date</vt:lpstr>
      <vt:lpstr>ClinchNutDesc</vt:lpstr>
      <vt:lpstr>ClinchNutMdlName</vt:lpstr>
      <vt:lpstr>ClinchNutPN</vt:lpstr>
      <vt:lpstr>Reference!CoilDiameter</vt:lpstr>
      <vt:lpstr>CoilDiameter</vt:lpstr>
      <vt:lpstr>CompFoundStatus</vt:lpstr>
      <vt:lpstr>CONN1CAVITYPITCH</vt:lpstr>
      <vt:lpstr>CONN2CAVITYPITCH</vt:lpstr>
      <vt:lpstr>Reference!ConnectorRotation1</vt:lpstr>
      <vt:lpstr>ConnectorRotation1</vt:lpstr>
      <vt:lpstr>Reference!ConnectorRotation2</vt:lpstr>
      <vt:lpstr>ConnectorRotation2</vt:lpstr>
      <vt:lpstr>Reference!ConnectorRotation3</vt:lpstr>
      <vt:lpstr>ConnectorRotation3</vt:lpstr>
      <vt:lpstr>Reference!ConnectorRotation4</vt:lpstr>
      <vt:lpstr>ConnectorRotation4</vt:lpstr>
      <vt:lpstr>Reference!ConnectorRotation5</vt:lpstr>
      <vt:lpstr>ConnectorRotation5</vt:lpstr>
      <vt:lpstr>Reference!CustomerCode</vt:lpstr>
      <vt:lpstr>CustomerCode</vt:lpstr>
      <vt:lpstr>Reference!CustomerDrawingOption</vt:lpstr>
      <vt:lpstr>CustomerDrawingOption</vt:lpstr>
      <vt:lpstr>Reference!CustomerNumber</vt:lpstr>
      <vt:lpstr>CustomerNumber</vt:lpstr>
      <vt:lpstr>Drawing_Title</vt:lpstr>
      <vt:lpstr>Reference!DrawingNotes</vt:lpstr>
      <vt:lpstr>DrawingNotes</vt:lpstr>
      <vt:lpstr>Reference!DrawingSize</vt:lpstr>
      <vt:lpstr>DrawingSize</vt:lpstr>
      <vt:lpstr>Drawn_By</vt:lpstr>
      <vt:lpstr>Drawn_Date</vt:lpstr>
      <vt:lpstr>Drawn_Dtae</vt:lpstr>
      <vt:lpstr>DustCoverDesc</vt:lpstr>
      <vt:lpstr>DustCoverMdlName</vt:lpstr>
      <vt:lpstr>DustCoverPN</vt:lpstr>
      <vt:lpstr>Reference!HarnessLengthD1</vt:lpstr>
      <vt:lpstr>HarnessLengthD1</vt:lpstr>
      <vt:lpstr>Reference!HarnessLengthD2</vt:lpstr>
      <vt:lpstr>HarnessLengthD2</vt:lpstr>
      <vt:lpstr>Reference!HarnessLengthD3</vt:lpstr>
      <vt:lpstr>HarnessLengthD3</vt:lpstr>
      <vt:lpstr>Reference!HarnessLengthD4</vt:lpstr>
      <vt:lpstr>HarnessLengthD4</vt:lpstr>
      <vt:lpstr>KeyKeyWayDesc</vt:lpstr>
      <vt:lpstr>KeyKeyWayMdlName</vt:lpstr>
      <vt:lpstr>KeyKeyWayPN</vt:lpstr>
      <vt:lpstr>KeyKeyWayPNB3</vt:lpstr>
      <vt:lpstr>KeyPostDesc</vt:lpstr>
      <vt:lpstr>KeyPostMdlName</vt:lpstr>
      <vt:lpstr>KeyPostModelName</vt:lpstr>
      <vt:lpstr>KeyPostPN</vt:lpstr>
      <vt:lpstr>KeyRetainerDesc</vt:lpstr>
      <vt:lpstr>KeyRetainerMdlName</vt:lpstr>
      <vt:lpstr>KeyRetainerPN</vt:lpstr>
      <vt:lpstr>KeyScrewDesc</vt:lpstr>
      <vt:lpstr>KeyScrewMdlName</vt:lpstr>
      <vt:lpstr>KeyScrewPN</vt:lpstr>
      <vt:lpstr>LABEL_PART</vt:lpstr>
      <vt:lpstr>LABEL_SEARCH_COLUMN</vt:lpstr>
      <vt:lpstr>Multiple_Conn_search_Column</vt:lpstr>
      <vt:lpstr>MULTIPLE_CONNECTOR1</vt:lpstr>
      <vt:lpstr>Reference!NumberOfPosition</vt:lpstr>
      <vt:lpstr>NumberOfPosition</vt:lpstr>
      <vt:lpstr>Reference!PackingNote</vt:lpstr>
      <vt:lpstr>PackingNote</vt:lpstr>
      <vt:lpstr>PlugCenterKeyPos</vt:lpstr>
      <vt:lpstr>PlugLeftKeyPos</vt:lpstr>
      <vt:lpstr>PlugRightKeyPos</vt:lpstr>
      <vt:lpstr>Reference!Qty</vt:lpstr>
      <vt:lpstr>Qty</vt:lpstr>
      <vt:lpstr>RecptCenterKeyPos</vt:lpstr>
      <vt:lpstr>RecptLeftKeyPos</vt:lpstr>
      <vt:lpstr>RecptRightKeyPos</vt:lpstr>
      <vt:lpstr>RetainerPCDesc</vt:lpstr>
      <vt:lpstr>RetainerPCMdlName</vt:lpstr>
      <vt:lpstr>RetainerPCPN</vt:lpstr>
      <vt:lpstr>RetainerPLDesc</vt:lpstr>
      <vt:lpstr>RetainerPLMdlName</vt:lpstr>
      <vt:lpstr>RetainerPLModelName</vt:lpstr>
      <vt:lpstr>RetainerPLPN</vt:lpstr>
      <vt:lpstr>RetainerPRDesc</vt:lpstr>
      <vt:lpstr>RetainerPRMdlName</vt:lpstr>
      <vt:lpstr>RetainerPRModelName</vt:lpstr>
      <vt:lpstr>RetainerPRPN</vt:lpstr>
      <vt:lpstr>RetainerSCDesc</vt:lpstr>
      <vt:lpstr>RetainerSCMdlName</vt:lpstr>
      <vt:lpstr>RetainerSCModelName</vt:lpstr>
      <vt:lpstr>RetainerSCPN</vt:lpstr>
      <vt:lpstr>RetainerScrewDesc</vt:lpstr>
      <vt:lpstr>RetainerScrewMdlName</vt:lpstr>
      <vt:lpstr>RetainerScrewPN</vt:lpstr>
      <vt:lpstr>RetainerSLDesc</vt:lpstr>
      <vt:lpstr>RetainerSLMdlName</vt:lpstr>
      <vt:lpstr>RetainerSLPN</vt:lpstr>
      <vt:lpstr>RetainerSRDesc</vt:lpstr>
      <vt:lpstr>RetainerSRMdlName</vt:lpstr>
      <vt:lpstr>RetainerSRPN</vt:lpstr>
      <vt:lpstr>SELECTED_CABLE_TYPE</vt:lpstr>
      <vt:lpstr>SELECTED_MULTI_CONN_SIDE</vt:lpstr>
      <vt:lpstr>SELECTED_NO_OF_CBALES</vt:lpstr>
      <vt:lpstr>SELECTED_SIDE</vt:lpstr>
      <vt:lpstr>ShellDesc</vt:lpstr>
      <vt:lpstr>ShellMdlName</vt:lpstr>
      <vt:lpstr>ShellPN</vt:lpstr>
      <vt:lpstr>Reference!TapePitch</vt:lpstr>
      <vt:lpstr>TapePitch</vt:lpstr>
      <vt:lpstr>Reference!TapeStartDistance</vt:lpstr>
      <vt:lpstr>TapeStartDistance</vt:lpstr>
      <vt:lpstr>Reference!TapeYesNo</vt:lpstr>
      <vt:lpstr>TapeYesNo</vt:lpstr>
      <vt:lpstr>Reference!WireDiamenterW1</vt:lpstr>
      <vt:lpstr>WireDiamenterW1</vt:lpstr>
      <vt:lpstr>Reference!WireDiamenterW2</vt:lpstr>
      <vt:lpstr>WireDiamenterW2</vt:lpstr>
      <vt:lpstr>Reference!WireDiamenterW3</vt:lpstr>
      <vt:lpstr>WireDiamenterW3</vt:lpstr>
      <vt:lpstr>Reference!WireDiamenterW4</vt:lpstr>
      <vt:lpstr>WireDiamenterW4</vt:lpstr>
      <vt:lpstr>Reference!WireTwistLength</vt:lpstr>
      <vt:lpstr>WireTwistLength</vt:lpstr>
      <vt:lpstr>Reference!WireTwistPitch</vt:lpstr>
      <vt:lpstr>WireTwistPitch</vt:lpstr>
      <vt:lpstr>Reference!WireTwistType</vt:lpstr>
      <vt:lpstr>WireTwistType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us082982</dc:creator>
  <dc:description>Template Excel documnet for the ARINC connector configuration automation program.</dc:description>
  <cp:lastModifiedBy>El Moghni, Douaa</cp:lastModifiedBy>
  <dcterms:created xsi:type="dcterms:W3CDTF">2016-06-20T18:03:09Z</dcterms:created>
  <dcterms:modified xsi:type="dcterms:W3CDTF">2023-01-14T09:58:04Z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0x010100B2A3D141ABCCA643A25EEBDF95790833</vt:lpwstr>
  </property>
  <property fmtid="{D5CDD505-2E9C-101B-9397-08002B2CF9AE}" pid="3" name="obid">
    <vt:lpwstr>VR:wt.doc.WTDocument:3704112259:262240228-1306971707657-3748502-214-86-241-163@pdmappp01.tycoelectronics.net</vt:lpwstr>
  </property>
  <property fmtid="{D5CDD505-2E9C-101B-9397-08002B2CF9AE}" pid="4" name="Context Create Timestamp">
    <vt:lpwstr>6/22/2012 7:04:49 PM</vt:lpwstr>
  </property>
  <property fmtid="{D5CDD505-2E9C-101B-9397-08002B2CF9AE}" pid="5" name="IBA|ALT_DOC_NUMBER">
    <vt:lpwstr/>
  </property>
  <property fmtid="{D5CDD505-2E9C-101B-9397-08002B2CF9AE}" pid="6" name="Type">
    <vt:lpwstr>Form</vt:lpwstr>
  </property>
  <property fmtid="{D5CDD505-2E9C-101B-9397-08002B2CF9AE}" pid="7" name="SLA|DOCUMENT_CLASS">
    <vt:lpwstr>Class 1</vt:lpwstr>
  </property>
  <property fmtid="{D5CDD505-2E9C-101B-9397-08002B2CF9AE}" pid="8" name="IBA|DOC_SUPERSEDED_BY">
    <vt:lpwstr/>
  </property>
  <property fmtid="{D5CDD505-2E9C-101B-9397-08002B2CF9AE}" pid="9" name="IBA|REASON_DOC_CHANGE">
    <vt:lpwstr>Other</vt:lpwstr>
  </property>
  <property fmtid="{D5CDD505-2E9C-101B-9397-08002B2CF9AE}" pid="10" name="IBA|DWG_TITLE_3">
    <vt:lpwstr/>
  </property>
  <property fmtid="{D5CDD505-2E9C-101B-9397-08002B2CF9AE}" pid="11" name="IBA|DWG_TITLE">
    <vt:lpwstr/>
  </property>
  <property fmtid="{D5CDD505-2E9C-101B-9397-08002B2CF9AE}" pid="12" name="IBA|DWG_TITLE_2">
    <vt:lpwstr/>
  </property>
  <property fmtid="{D5CDD505-2E9C-101B-9397-08002B2CF9AE}" pid="13" name="IBA|DOC_STATUS">
    <vt:lpwstr>Active</vt:lpwstr>
  </property>
  <property fmtid="{D5CDD505-2E9C-101B-9397-08002B2CF9AE}" pid="14" name="wtname">
    <vt:lpwstr>ARINC_Configuration</vt:lpwstr>
  </property>
  <property fmtid="{D5CDD505-2E9C-101B-9397-08002B2CF9AE}" pid="15" name="Document number">
    <vt:lpwstr>1002510596_PDM</vt:lpwstr>
  </property>
  <property fmtid="{D5CDD505-2E9C-101B-9397-08002B2CF9AE}" pid="16" name="SLA|RESTRICTED_ACCESS_GROUP">
    <vt:lpwstr/>
  </property>
  <property fmtid="{D5CDD505-2E9C-101B-9397-08002B2CF9AE}" pid="17" name="IBA|PUBLIC_DOC_CHANGE">
    <vt:lpwstr/>
  </property>
  <property fmtid="{D5CDD505-2E9C-101B-9397-08002B2CF9AE}" pid="18" name="Context Creator">
    <vt:lpwstr>wcadmin</vt:lpwstr>
  </property>
  <property fmtid="{D5CDD505-2E9C-101B-9397-08002B2CF9AE}" pid="19" name="organization">
    <vt:lpwstr>TE</vt:lpwstr>
  </property>
  <property fmtid="{D5CDD505-2E9C-101B-9397-08002B2CF9AE}" pid="20" name="IBA|DISTRIBUTION_NOTES">
    <vt:lpwstr/>
  </property>
  <property fmtid="{D5CDD505-2E9C-101B-9397-08002B2CF9AE}" pid="21" name="IBA|DESC">
    <vt:lpwstr/>
  </property>
  <property fmtid="{D5CDD505-2E9C-101B-9397-08002B2CF9AE}" pid="22" name="IBA|COMBINATION_NOTES">
    <vt:lpwstr/>
  </property>
  <property fmtid="{D5CDD505-2E9C-101B-9397-08002B2CF9AE}" pid="23" name="IBA|ECO">
    <vt:lpwstr/>
  </property>
  <property fmtid="{D5CDD505-2E9C-101B-9397-08002B2CF9AE}" pid="24" name="RevisionInfo">
    <vt:lpwstr>3</vt:lpwstr>
  </property>
  <property fmtid="{D5CDD505-2E9C-101B-9397-08002B2CF9AE}" pid="25" name="IBA|PROJECT">
    <vt:lpwstr/>
  </property>
  <property fmtid="{D5CDD505-2E9C-101B-9397-08002B2CF9AE}" pid="26" name="IBA|DOC_REVISION">
    <vt:lpwstr/>
  </property>
  <property fmtid="{D5CDD505-2E9C-101B-9397-08002B2CF9AE}" pid="27" name="IBA|ALTERNATE_DOC_TITLE">
    <vt:lpwstr/>
  </property>
  <property fmtid="{D5CDD505-2E9C-101B-9397-08002B2CF9AE}" pid="28" name="IBA|DOC_SIZE">
    <vt:lpwstr>A</vt:lpwstr>
  </property>
  <property fmtid="{D5CDD505-2E9C-101B-9397-08002B2CF9AE}" pid="29" name="URL">
    <vt:lpwstr>https://mfsappp21.tycoelectronics.net:40743/Windchill/servlet/WindchillGW/wt.fv.replica.StandardReplicaService/doDownload/ARINC%20Configuration.xlsm?folderId=2626003057&amp;ft=FF&amp;userid=204931806&amp;adId=3834535671&amp;fileName=000000077d8cab&amp;refsize=234293&amp;mime=app</vt:lpwstr>
  </property>
  <property fmtid="{D5CDD505-2E9C-101B-9397-08002B2CF9AE}" pid="30" name="IBA|POINT_OF_CONTACT">
    <vt:lpwstr>US082982</vt:lpwstr>
  </property>
  <property fmtid="{D5CDD505-2E9C-101B-9397-08002B2CF9AE}" pid="31" name="iterationObid">
    <vt:lpwstr>OR:wt.doc.WTDocument:3834535669</vt:lpwstr>
  </property>
  <property fmtid="{D5CDD505-2E9C-101B-9397-08002B2CF9AE}" pid="32" name="versionInfo">
    <vt:lpwstr>3.3</vt:lpwstr>
  </property>
  <property fmtid="{D5CDD505-2E9C-101B-9397-08002B2CF9AE}" pid="33" name="Context Last Modified Timestamp">
    <vt:lpwstr>6/15/2013 3:44:48 PM</vt:lpwstr>
  </property>
  <property fmtid="{D5CDD505-2E9C-101B-9397-08002B2CF9AE}" pid="34" name="IBA|INTERNAL_DOC_CHANGE">
    <vt:lpwstr/>
  </property>
  <property fmtid="{D5CDD505-2E9C-101B-9397-08002B2CF9AE}" pid="35" name="IBA|DOC_LANGUAGE">
    <vt:lpwstr>English</vt:lpwstr>
  </property>
  <property fmtid="{D5CDD505-2E9C-101B-9397-08002B2CF9AE}" pid="36" name="SLA|EXPORT_RESTRICTED">
    <vt:lpwstr>None</vt:lpwstr>
  </property>
  <property fmtid="{D5CDD505-2E9C-101B-9397-08002B2CF9AE}" pid="37" name="lifeCycleState">
    <vt:lpwstr>Concept</vt:lpwstr>
  </property>
  <property fmtid="{D5CDD505-2E9C-101B-9397-08002B2CF9AE}" pid="38" name="IBA|DOC_TITLE">
    <vt:lpwstr>ARINC Configuration</vt:lpwstr>
  </property>
  <property fmtid="{D5CDD505-2E9C-101B-9397-08002B2CF9AE}" pid="39" name="Context Number">
    <vt:lpwstr/>
  </property>
  <property fmtid="{D5CDD505-2E9C-101B-9397-08002B2CF9AE}" pid="40" name="context">
    <vt:lpwstr>RDO_0037</vt:lpwstr>
  </property>
  <property fmtid="{D5CDD505-2E9C-101B-9397-08002B2CF9AE}" pid="41" name="Context Template">
    <vt:lpwstr>TE Product Template</vt:lpwstr>
  </property>
  <property fmtid="{D5CDD505-2E9C-101B-9397-08002B2CF9AE}" pid="42" name="IBA|SEND_TO_STARTEC">
    <vt:lpwstr>FALSE</vt:lpwstr>
  </property>
  <property fmtid="{D5CDD505-2E9C-101B-9397-08002B2CF9AE}" pid="43" name="IBA|SEND_CONTENT_TO_STARTEC">
    <vt:lpwstr>None</vt:lpwstr>
  </property>
</Properties>
</file>