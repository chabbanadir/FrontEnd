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300924\Music\"/>
    </mc:Choice>
  </mc:AlternateContent>
  <xr:revisionPtr revIDLastSave="0" documentId="13_ncr:1_{84497547-69A1-4EBA-8219-7F4538581D05}" xr6:coauthVersionLast="46" xr6:coauthVersionMax="46" xr10:uidLastSave="{00000000-0000-0000-0000-000000000000}"/>
  <bookViews>
    <workbookView xWindow="-28020" yWindow="780" windowWidth="21600" windowHeight="11385" firstSheet="1" activeTab="2" xr2:uid="{24A6A40B-27E8-4B6A-A995-09466D41FD5F}"/>
  </bookViews>
  <sheets>
    <sheet name="Cable Harness Configuration" sheetId="1" r:id="rId1"/>
    <sheet name="P-DRAWING BOM" sheetId="2" r:id="rId2"/>
    <sheet name="MODEL BOM" sheetId="3" r:id="rId3"/>
    <sheet name="C-DRAWING BOM" sheetId="4" r:id="rId4"/>
    <sheet name="Co-ordinates_Points" sheetId="5" r:id="rId5"/>
    <sheet name="Pin Out Chart General" sheetId="6" r:id="rId6"/>
    <sheet name="Reference" sheetId="7" r:id="rId7"/>
  </sheets>
  <externalReferences>
    <externalReference r:id="rId8"/>
  </externalReferences>
  <definedNames>
    <definedName name="_xlnm._FilterDatabase" localSheetId="2" hidden="1">'MODEL BOM'!$H$2:$H$14</definedName>
    <definedName name="Approved_By">'Cable Harness Configuration'!$D$21</definedName>
    <definedName name="Approved_Date">'Cable Harness Configuration'!$D$24</definedName>
    <definedName name="Approved_Dtae">'Cable Harness Configuration'!$D$24</definedName>
    <definedName name="AssemblyName" localSheetId="6">Reference!$D$6</definedName>
    <definedName name="AssemblyName">'Cable Harness Configuration'!$D$6</definedName>
    <definedName name="CABLE_LABEL_PARTS">'MODEL BOM'!$I$1</definedName>
    <definedName name="CABLE_PART">'MODEL BOM'!$K$1</definedName>
    <definedName name="CABLE_SEARCH_COLUMN">'MODEL BOM'!$CA$1</definedName>
    <definedName name="CableHarnessSide" localSheetId="6">Reference!$D$28</definedName>
    <definedName name="CableHarnessSide">'Cable Harness Configuration'!$D$28</definedName>
    <definedName name="CableHarnessSideList" localSheetId="6">[1]!tblCableSide[Harness Side]</definedName>
    <definedName name="CableHarnessSideList">[1]!tblCableSide[Harness Side]</definedName>
    <definedName name="CableHarnessType" localSheetId="6">Reference!$D$27</definedName>
    <definedName name="CableHarnessType">'Cable Harness Configuration'!$D$27</definedName>
    <definedName name="CableHarnessTypeList" localSheetId="6">[1]!tblCableType[Type of Harness]</definedName>
    <definedName name="CableHarnessTypeList">[1]!tblCableType[Type of Harness]</definedName>
    <definedName name="CavAInsertDesc">'P-DRAWING BOM'!$D$19</definedName>
    <definedName name="CavAInsertMtl">'P-DRAWING BOM'!$E$19</definedName>
    <definedName name="CavAInsertName">'P-DRAWING BOM'!$B$19</definedName>
    <definedName name="CavAInsertPN">'P-DRAWING BOM'!$C$19</definedName>
    <definedName name="CavBInsertDesc">'P-DRAWING BOM'!$D$20</definedName>
    <definedName name="CavBInsertMtl">'P-DRAWING BOM'!$E$20</definedName>
    <definedName name="CavBInsertName">'P-DRAWING BOM'!$B$20</definedName>
    <definedName name="CavBInsertPN">'P-DRAWING BOM'!$C$20</definedName>
    <definedName name="CavCInsertDesc">'P-DRAWING BOM'!$D$21</definedName>
    <definedName name="CavCInsertMtl">'P-DRAWING BOM'!$E$21</definedName>
    <definedName name="CavCInsertName">'P-DRAWING BOM'!$B$21</definedName>
    <definedName name="CavCInsertPN">'P-DRAWING BOM'!$C$21</definedName>
    <definedName name="CavDInsertDesc">'P-DRAWING BOM'!$D$22</definedName>
    <definedName name="CavDInsertMtl">'P-DRAWING BOM'!$E$22</definedName>
    <definedName name="CavDInsertName">'P-DRAWING BOM'!$B$22</definedName>
    <definedName name="CavDInsertPN">'P-DRAWING BOM'!$C$22</definedName>
    <definedName name="CavEInsertDesc">'P-DRAWING BOM'!$D$23</definedName>
    <definedName name="CavEInsertMtl">'P-DRAWING BOM'!$E$23</definedName>
    <definedName name="CavEInsertName">'P-DRAWING BOM'!$B$23</definedName>
    <definedName name="CavEInsertPN">'P-DRAWING BOM'!$C$23</definedName>
    <definedName name="CavFInsertDesc">'P-DRAWING BOM'!$D$24</definedName>
    <definedName name="CavFInsertMtl">'P-DRAWING BOM'!$E$24</definedName>
    <definedName name="CavFInsertName">'P-DRAWING BOM'!$B$24</definedName>
    <definedName name="CavFInsertPN">'P-DRAWING BOM'!$C$24</definedName>
    <definedName name="CavityCInsert" localSheetId="6">Reference!$G$25</definedName>
    <definedName name="CavityCInsert">'Cable Harness Configuration'!$G$16</definedName>
    <definedName name="CavityDInsert" localSheetId="6">Reference!$G$26</definedName>
    <definedName name="CavityDInsert">'Cable Harness Configuration'!$G$17</definedName>
    <definedName name="CavityEInsert" localSheetId="6">Reference!$G$29</definedName>
    <definedName name="CavityEInsert">'Cable Harness Configuration'!$G$20</definedName>
    <definedName name="CavityFInsert" localSheetId="6">Reference!$G$39</definedName>
    <definedName name="CavityFInsert">'Cable Harness Configuration'!$G$30</definedName>
    <definedName name="Checked_by">'Cable Harness Configuration'!$D$20</definedName>
    <definedName name="Checked_Date">'Cable Harness Configuration'!$D$23</definedName>
    <definedName name="ClassTable" localSheetId="6">'[1]General Lists'!#REF!</definedName>
    <definedName name="ClassTable">'[1]General Lists'!#REF!</definedName>
    <definedName name="ClinchNutDesc">'P-DRAWING BOM'!$D$15</definedName>
    <definedName name="ClinchNutMdlName">'P-DRAWING BOM'!$C$15</definedName>
    <definedName name="ClinchNutPN">'P-DRAWING BOM'!$B$15</definedName>
    <definedName name="ClinchNuts_Desc" localSheetId="6">#REF!</definedName>
    <definedName name="ClinchNuts_Desc">#REF!</definedName>
    <definedName name="ClinchNuts_MdlName" localSheetId="6">#REF!</definedName>
    <definedName name="ClinchNuts_MdlName">#REF!</definedName>
    <definedName name="ClinchNuts_PN" localSheetId="6">#REF!</definedName>
    <definedName name="ClinchNuts_PN">#REF!</definedName>
    <definedName name="ClinchNuts_Size" localSheetId="6">#REF!</definedName>
    <definedName name="ClinchNuts_Size">#REF!</definedName>
    <definedName name="ClinchNuts_Type" localSheetId="6">#REF!</definedName>
    <definedName name="ClinchNuts_Type">#REF!</definedName>
    <definedName name="ClinchNutType_Column" localSheetId="6">INDEX(#REF!,,Reference!ClinchNutType_Column_Selected)</definedName>
    <definedName name="ClinchNutType_Column">INDEX(#REF!,,ClinchNutType_Column_Selected)</definedName>
    <definedName name="ClinchNutType_Column_Selected" localSheetId="6">MATCH(Reference!HarnessLengthD4,Reference!ClinchNutType_DropDown_Choices,0)</definedName>
    <definedName name="ClinchNutType_Column_Selected">MATCH(HarnessLengthD4,ClinchNutType_DropDown_Choices,0)</definedName>
    <definedName name="ClinchNutType_DropDown_Choices" localSheetId="6">#REF!</definedName>
    <definedName name="ClinchNutType_DropDown_Choices">#REF!</definedName>
    <definedName name="ClinchNutType_Selection_Choices" localSheetId="6">INDEX(#REF!,1,Reference!ClinchNutType_Column_Selected) : INDEX(#REF!,COUNTA(Reference!ClinchNutType_Column),Reference!ClinchNutType_Column_Selected)</definedName>
    <definedName name="ClinchNutType_Selection_Choices">INDEX(#REF!,1,ClinchNutType_Column_Selected) : INDEX(#REF!,COUNTA(ClinchNutType_Column),ClinchNutType_Column_Selected)</definedName>
    <definedName name="CoilDiameter" localSheetId="6">Reference!$D$14</definedName>
    <definedName name="CoilDiameter">'Cable Harness Configuration'!$D$14</definedName>
    <definedName name="CompFoundStatus" localSheetId="6">Reference!#REF!</definedName>
    <definedName name="CompFoundStatus">'Cable Harness Configuration'!$D$54</definedName>
    <definedName name="CONN1CAVITYPITCH">'Cable Harness Configuration'!$G$11</definedName>
    <definedName name="CONN2CAVITYPITCH">'Cable Harness Configuration'!$G$12</definedName>
    <definedName name="ConnectorRotation1" localSheetId="6">Reference!$D$45</definedName>
    <definedName name="ConnectorRotation1">'Cable Harness Configuration'!$D$45</definedName>
    <definedName name="ConnectorRotation2" localSheetId="6">Reference!$D$46</definedName>
    <definedName name="ConnectorRotation2">'Cable Harness Configuration'!$D$46</definedName>
    <definedName name="ConnectorRotation3" localSheetId="6">Reference!$D$47</definedName>
    <definedName name="ConnectorRotation3">'Cable Harness Configuration'!$D$47</definedName>
    <definedName name="ConnectorRotation4" localSheetId="6">Reference!$D$48</definedName>
    <definedName name="ConnectorRotation4">'Cable Harness Configuration'!$D$48</definedName>
    <definedName name="ConnectorRotation5" localSheetId="6">Reference!$D$49</definedName>
    <definedName name="ConnectorRotation5">'Cable Harness Configuration'!$D$49</definedName>
    <definedName name="CustomerCode" localSheetId="6">Reference!$D$8</definedName>
    <definedName name="CustomerCode">'Cable Harness Configuration'!$D$8</definedName>
    <definedName name="CustomerCodeList" localSheetId="6">[1]!Table6[Customer Code]</definedName>
    <definedName name="CustomerCodeList">[1]!Table6[Customer Code]</definedName>
    <definedName name="CustomerDrawingOption" localSheetId="6">Reference!$D$15</definedName>
    <definedName name="CustomerDrawingOption">'Cable Harness Configuration'!$D$15</definedName>
    <definedName name="CustomerNumber" localSheetId="6">Reference!$D$7</definedName>
    <definedName name="CustomerNumber">'Cable Harness Configuration'!$D$7</definedName>
    <definedName name="Drawing_Title">'Cable Harness Configuration'!$D$18</definedName>
    <definedName name="DrawingNotes" localSheetId="6">Reference!$D$12</definedName>
    <definedName name="DrawingNotes">'Cable Harness Configuration'!$D$12</definedName>
    <definedName name="DrawingOptionList" localSheetId="6">[1]!tblDrawingOption[Drawing Option]</definedName>
    <definedName name="DrawingOptionList">[1]!tblDrawingOption[Drawing Option]</definedName>
    <definedName name="DrawingSize" localSheetId="6">Reference!$D$11</definedName>
    <definedName name="DrawingSize">'Cable Harness Configuration'!$D$11</definedName>
    <definedName name="DrawingSizeList" localSheetId="6">[1]!tblDrawingSize[Drawing Size]</definedName>
    <definedName name="DrawingSizeList">[1]!tblDrawingSize[Drawing Size]</definedName>
    <definedName name="Drawn_By">'Cable Harness Configuration'!$D$19</definedName>
    <definedName name="Drawn_Date">'Cable Harness Configuration'!$D$22</definedName>
    <definedName name="Drawn_Dtae">'Cable Harness Configuration'!$D$22</definedName>
    <definedName name="DrawNoteList" localSheetId="6">[1]!tblDrawingNotes[Drawing Notes]</definedName>
    <definedName name="DrawNoteList">[1]!tblDrawingNotes[Drawing Notes]</definedName>
    <definedName name="DustCov_Desc" localSheetId="6">#REF!</definedName>
    <definedName name="DustCov_Desc">#REF!</definedName>
    <definedName name="DustCov_MdlName" localSheetId="6">#REF!</definedName>
    <definedName name="DustCov_MdlName">#REF!</definedName>
    <definedName name="DustCov_PN" localSheetId="6">#REF!</definedName>
    <definedName name="DustCov_PN">#REF!</definedName>
    <definedName name="DustCov_Size" localSheetId="6">#REF!</definedName>
    <definedName name="DustCov_Size">#REF!</definedName>
    <definedName name="DustCoverDesc">'P-DRAWING BOM'!$D$16</definedName>
    <definedName name="DustCoverMdlName">'P-DRAWING BOM'!$C$16</definedName>
    <definedName name="DustCoverPN">'P-DRAWING BOM'!$B$16</definedName>
    <definedName name="HarnessLengthD1" localSheetId="6">Reference!$D$30</definedName>
    <definedName name="HarnessLengthD1">'Cable Harness Configuration'!$D$30</definedName>
    <definedName name="HarnessLengthD2" localSheetId="6">Reference!$D$31</definedName>
    <definedName name="HarnessLengthD2">'Cable Harness Configuration'!$D$31</definedName>
    <definedName name="HarnessLengthD3" localSheetId="6">Reference!$D$32</definedName>
    <definedName name="HarnessLengthD3">'Cable Harness Configuration'!$D$32</definedName>
    <definedName name="HarnessLengthD4" localSheetId="6">Reference!$D$33</definedName>
    <definedName name="HarnessLengthD4">'Cable Harness Configuration'!$D$33</definedName>
    <definedName name="Insert_1PP" localSheetId="6">#REF!</definedName>
    <definedName name="Insert_1PP">#REF!</definedName>
    <definedName name="Insert_1PR" localSheetId="6">#REF!</definedName>
    <definedName name="Insert_1PR">#REF!</definedName>
    <definedName name="Insert_1SP" localSheetId="6">#REF!</definedName>
    <definedName name="Insert_1SP">#REF!</definedName>
    <definedName name="Insert_1SR" localSheetId="6">#REF!</definedName>
    <definedName name="Insert_1SR">#REF!</definedName>
    <definedName name="Insert_23PP" localSheetId="6">#REF!</definedName>
    <definedName name="Insert_23PP">#REF!</definedName>
    <definedName name="Insert_23PR" localSheetId="6">#REF!</definedName>
    <definedName name="Insert_23PR">#REF!</definedName>
    <definedName name="Insert_23SP" localSheetId="6">#REF!</definedName>
    <definedName name="Insert_23SP">#REF!</definedName>
    <definedName name="Insert_23SR" localSheetId="6">#REF!</definedName>
    <definedName name="Insert_23SR">#REF!</definedName>
    <definedName name="Inserts" localSheetId="6">#REF!</definedName>
    <definedName name="Inserts">#REF!</definedName>
    <definedName name="InsertsTable" localSheetId="6">'[1]General Lists'!#REF!</definedName>
    <definedName name="InsertsTable">'[1]General Lists'!#REF!</definedName>
    <definedName name="KeyingTable" localSheetId="6">'[1]General Lists'!#REF!</definedName>
    <definedName name="KeyingTable">'[1]General Lists'!#REF!</definedName>
    <definedName name="KeyKeyWayDesc">'P-DRAWING BOM'!$D$3</definedName>
    <definedName name="KeyKeyWayMdlName">'P-DRAWING BOM'!$C$3</definedName>
    <definedName name="KeyKeyWayPN">'P-DRAWING BOM'!$B$3</definedName>
    <definedName name="KeyKeyWayPNB3">'P-DRAWING BOM'!$B$3</definedName>
    <definedName name="KeyPosition_Keying" localSheetId="6">#REF!</definedName>
    <definedName name="KeyPosition_Keying">#REF!</definedName>
    <definedName name="KeyPosition_PlugCenter" localSheetId="6">#REF!</definedName>
    <definedName name="KeyPosition_PlugCenter">#REF!</definedName>
    <definedName name="KeyPosition_PlugLeft" localSheetId="6">#REF!</definedName>
    <definedName name="KeyPosition_PlugLeft">#REF!</definedName>
    <definedName name="KeyPosition_PlugRight" localSheetId="6">#REF!</definedName>
    <definedName name="KeyPosition_PlugRight">#REF!</definedName>
    <definedName name="KeyPosition_RecptCenter" localSheetId="6">#REF!</definedName>
    <definedName name="KeyPosition_RecptCenter">#REF!</definedName>
    <definedName name="KeyPosition_RecptLeft" localSheetId="6">#REF!</definedName>
    <definedName name="KeyPosition_RecptLeft">#REF!</definedName>
    <definedName name="KeyPosition_RecptRight" localSheetId="6">#REF!</definedName>
    <definedName name="KeyPosition_RecptRight">#REF!</definedName>
    <definedName name="KeyPostDesc">'P-DRAWING BOM'!$D$4</definedName>
    <definedName name="KeyPostMdlName">'P-DRAWING BOM'!$C$4</definedName>
    <definedName name="KeyPostModelName">'P-DRAWING BOM'!$C$4</definedName>
    <definedName name="KeyPostPN">'P-DRAWING BOM'!$B$4</definedName>
    <definedName name="KeyRetainerDesc">'P-DRAWING BOM'!$D$2</definedName>
    <definedName name="KeyRetainerMdlName">'P-DRAWING BOM'!$C$2</definedName>
    <definedName name="KeyRetainerPN">'P-DRAWING BOM'!$B$2</definedName>
    <definedName name="KeyScrewDesc">'P-DRAWING BOM'!$D$5</definedName>
    <definedName name="KeyScrewMdlName">'P-DRAWING BOM'!$C$5</definedName>
    <definedName name="KeyScrewPN">'P-DRAWING BOM'!$B$5</definedName>
    <definedName name="LABEL_PART">'MODEL BOM'!$L$1</definedName>
    <definedName name="LABEL_SEARCH_COLUMN">'MODEL BOM'!$CC$1</definedName>
    <definedName name="MountHole_Column" localSheetId="6">INDEX(#REF!,,Reference!MountHole_Column_Selected)</definedName>
    <definedName name="MountHole_Column">INDEX(#REF!,,MountHole_Column_Selected)</definedName>
    <definedName name="MountHole_Column_Selected" localSheetId="6">MATCH(Reference!NumberOfPosition,Reference!MountHole_DropDown_Choices,0)</definedName>
    <definedName name="MountHole_Column_Selected">MATCH(NumberOfPosition,MountHole_DropDown_Choices,0)</definedName>
    <definedName name="MountHole_DropDown_Choices" localSheetId="6">#REF!</definedName>
    <definedName name="MountHole_DropDown_Choices">#REF!</definedName>
    <definedName name="MountHoles_Selection_Choices" localSheetId="6">INDEX(#REF!,1,Reference!MountHole_Column_Selected) : INDEX(#REF!,COUNTA(Reference!MountHole_Column),Reference!MountHole_Column_Selected)</definedName>
    <definedName name="MountHoles_Selection_Choices">INDEX(#REF!,1,MountHole_Column_Selected) : INDEX(#REF!,COUNTA(MountHole_Column),MountHole_Column_Selected)</definedName>
    <definedName name="MountSize_Column" localSheetId="6">INDEX(#REF!,,Reference!MountHole_Column_Selected)</definedName>
    <definedName name="MountSize_Column">INDEX(#REF!,,MountHole_Column_Selected)</definedName>
    <definedName name="MountSize_Selection_Choices" localSheetId="6">INDEX(#REF!,1,Reference!MountHole_Column_Selected) : INDEX(#REF!,COUNTA(Reference!MountSize_Column),Reference!MountHole_Column_Selected)</definedName>
    <definedName name="MountSize_Selection_Choices">INDEX(#REF!,1,MountHole_Column_Selected) : INDEX(#REF!,COUNTA(MountSize_Column),MountHole_Column_Selected)</definedName>
    <definedName name="Multiple_Conn_search_Column">'MODEL BOM'!$CI$1</definedName>
    <definedName name="MULTIPLE_CONNECTOR1">'MODEL BOM'!$M$1</definedName>
    <definedName name="NameCheck" localSheetId="6">OFFSET(#REF!,0,0,COUNT(#REF!),1)</definedName>
    <definedName name="NameCheck">OFFSET(#REF!,0,0,COUNT(#REF!),1)</definedName>
    <definedName name="NumberOfPosition" localSheetId="6">Reference!$D$29</definedName>
    <definedName name="NumberOfPosition">'Cable Harness Configuration'!$D$29</definedName>
    <definedName name="NumberOfPositionList" localSheetId="6">[1]!tblNumOfPos[Number of Position]</definedName>
    <definedName name="NumberOfPositionList">[1]!tblNumOfPos[Number of Position]</definedName>
    <definedName name="PackingNote" localSheetId="6">Reference!$D$13</definedName>
    <definedName name="PackingNote">'Cable Harness Configuration'!$D$13</definedName>
    <definedName name="PackingNoteList" localSheetId="6">[1]!tblPackNote[Packing Note]</definedName>
    <definedName name="PackingNoteList">[1]!tblPackNote[Packing Note]</definedName>
    <definedName name="Plating_Column" localSheetId="6">INDEX(#REF!,,Reference!Plating_Column_Selected)</definedName>
    <definedName name="Plating_Column">INDEX(#REF!,,Plating_Column_Selected)</definedName>
    <definedName name="Plating_Column_Selected" localSheetId="6">MATCH(Reference!HarnessLengthD1,Reference!Plating_DropDown_Choices,0)</definedName>
    <definedName name="Plating_Column_Selected">MATCH(HarnessLengthD1,Plating_DropDown_Choices,0)</definedName>
    <definedName name="Plating_DropDown_Choices" localSheetId="6">#REF!</definedName>
    <definedName name="Plating_DropDown_Choices">#REF!</definedName>
    <definedName name="Plating_Selection_Choices" localSheetId="6">INDEX(#REF!,1,Reference!Plating_Column_Selected) : INDEX(#REF!,COUNTA(Reference!Plating_Column),Reference!Plating_Column_Selected)</definedName>
    <definedName name="Plating_Selection_Choices">INDEX(#REF!,1,Plating_Column_Selected) : INDEX(#REF!,COUNTA(Plating_Column),Plating_Column_Selected)</definedName>
    <definedName name="PlugCenterKeyPos">'P-DRAWING BOM'!$C$29</definedName>
    <definedName name="PlugLeftKeyPos">'P-DRAWING BOM'!$C$27</definedName>
    <definedName name="PlugRightKeyPos">'P-DRAWING BOM'!$C$28</definedName>
    <definedName name="Position_General">[1]!Table_General[[#Headers],[Table_General]]</definedName>
    <definedName name="Qty" localSheetId="6">Reference!$D$45</definedName>
    <definedName name="Qty">'Cable Harness Configuration'!$D$45</definedName>
    <definedName name="RecptCenterKeyPos">'P-DRAWING BOM'!$B$29</definedName>
    <definedName name="RecptLeftKeyPos">'P-DRAWING BOM'!$B$27</definedName>
    <definedName name="RecptPlug_Column" localSheetId="6">INDEX(#REF!,,Reference!RecptPlug_Column_Selected)</definedName>
    <definedName name="RecptPlug_Column">INDEX(#REF!,,RecptPlug_Column_Selected)</definedName>
    <definedName name="RecptPlug_Column_Selected" localSheetId="6">MATCH(Reference!NumberOfPosition,Reference!RecptPlug_DropDown_Choices,0)</definedName>
    <definedName name="RecptPlug_Column_Selected">MATCH(NumberOfPosition,RecptPlug_DropDown_Choices,0)</definedName>
    <definedName name="RecptPlug_DropDown_Choices" localSheetId="6">#REF!</definedName>
    <definedName name="RecptPlug_DropDown_Choices">#REF!</definedName>
    <definedName name="RecptPlug_Selection_Choices" localSheetId="6">INDEX(#REF!,1,Reference!RecptPlug_Column_Selected) : INDEX(#REF!,COUNTA(Reference!RecptPlug_Column),Reference!RecptPlug_Column_Selected)</definedName>
    <definedName name="RecptPlug_Selection_Choices">INDEX(#REF!,1,RecptPlug_Column_Selected) : INDEX(#REF!,COUNTA(RecptPlug_Column),RecptPlug_Column_Selected)</definedName>
    <definedName name="RecptRightKeyPos">'P-DRAWING BOM'!$B$28</definedName>
    <definedName name="region" localSheetId="6">'[1]General Lists'!#REF!</definedName>
    <definedName name="region">'[1]General Lists'!#REF!</definedName>
    <definedName name="RetainerPCDesc">'P-DRAWING BOM'!$D$13</definedName>
    <definedName name="RetainerPCMdlName">'P-DRAWING BOM'!$C$13</definedName>
    <definedName name="RetainerPCPN">'P-DRAWING BOM'!$B$13</definedName>
    <definedName name="RetainerPLDesc">'P-DRAWING BOM'!$D$12</definedName>
    <definedName name="RetainerPLMdlName">'P-DRAWING BOM'!$C$12</definedName>
    <definedName name="RetainerPLModelName">'P-DRAWING BOM'!$C$12</definedName>
    <definedName name="RetainerPLPN">'P-DRAWING BOM'!$B$12</definedName>
    <definedName name="RetainerPRDesc">'P-DRAWING BOM'!$D$11</definedName>
    <definedName name="RetainerPRMdlName">'P-DRAWING BOM'!$C$11</definedName>
    <definedName name="RetainerPRModelName">'P-DRAWING BOM'!$C$11</definedName>
    <definedName name="RetainerPRPN">'P-DRAWING BOM'!$B$11</definedName>
    <definedName name="RetainerSCDesc">'P-DRAWING BOM'!$D$10</definedName>
    <definedName name="RetainerSCMdlName">'P-DRAWING BOM'!$C$10</definedName>
    <definedName name="RetainerSCModelName">'P-DRAWING BOM'!$C$10</definedName>
    <definedName name="RetainerSCPN">'P-DRAWING BOM'!$B$10</definedName>
    <definedName name="RetainerScrewDesc">'P-DRAWING BOM'!$D$14</definedName>
    <definedName name="RetainerScrewMdlName">'P-DRAWING BOM'!$C$14</definedName>
    <definedName name="RetainerScrewPN">'P-DRAWING BOM'!$B$14</definedName>
    <definedName name="RetainerSLDesc">'P-DRAWING BOM'!$D$9</definedName>
    <definedName name="RetainerSLMdlName">'P-DRAWING BOM'!$C$9</definedName>
    <definedName name="RetainerSLPN">'P-DRAWING BOM'!$B$9</definedName>
    <definedName name="RetainerSRDesc">'P-DRAWING BOM'!$D$8</definedName>
    <definedName name="RetainerSRMdlName">'P-DRAWING BOM'!$C$8</definedName>
    <definedName name="RetainerSRPN">'P-DRAWING BOM'!$B$8</definedName>
    <definedName name="RetPltPwrC_Desc" localSheetId="6">#REF!</definedName>
    <definedName name="RetPltPwrC_Desc">#REF!</definedName>
    <definedName name="RetPltPwrC_MdlName" localSheetId="6">#REF!</definedName>
    <definedName name="RetPltPwrC_MdlName">#REF!</definedName>
    <definedName name="RetPltPwrC_Plating" localSheetId="6">#REF!</definedName>
    <definedName name="RetPltPwrC_Plating">#REF!</definedName>
    <definedName name="RetPltPwrC_PN" localSheetId="6">#REF!</definedName>
    <definedName name="RetPltPwrC_PN">#REF!</definedName>
    <definedName name="RetPltPwrC_Size" localSheetId="6">#REF!</definedName>
    <definedName name="RetPltPwrC_Size">#REF!</definedName>
    <definedName name="RetPltPwrL_Desc" localSheetId="6">#REF!</definedName>
    <definedName name="RetPltPwrL_Desc">#REF!</definedName>
    <definedName name="RetPltPwrL_MdlName" localSheetId="6">#REF!</definedName>
    <definedName name="RetPltPwrL_MdlName">#REF!</definedName>
    <definedName name="RetPltPwrL_Plating" localSheetId="6">#REF!</definedName>
    <definedName name="RetPltPwrL_Plating">#REF!</definedName>
    <definedName name="RetPltPwrL_PN" localSheetId="6">#REF!</definedName>
    <definedName name="RetPltPwrL_PN">#REF!</definedName>
    <definedName name="RetPltPwrL_Size" localSheetId="6">#REF!</definedName>
    <definedName name="RetPltPwrL_Size">#REF!</definedName>
    <definedName name="RetPltPwrL_Type" localSheetId="6">#REF!</definedName>
    <definedName name="RetPltPwrL_Type">#REF!</definedName>
    <definedName name="RetPltPwrR_Desc" localSheetId="6">#REF!</definedName>
    <definedName name="RetPltPwrR_Desc">#REF!</definedName>
    <definedName name="RetPltPwrR_MdlName" localSheetId="6">#REF!</definedName>
    <definedName name="RetPltPwrR_MdlName">#REF!</definedName>
    <definedName name="RetPltPwrR_Plating" localSheetId="6">#REF!</definedName>
    <definedName name="RetPltPwrR_Plating">#REF!</definedName>
    <definedName name="RetPltPwrR_PN" localSheetId="6">#REF!</definedName>
    <definedName name="RetPltPwrR_PN">#REF!</definedName>
    <definedName name="RetPltPwrR_Size" localSheetId="6">#REF!</definedName>
    <definedName name="RetPltPwrR_Size">#REF!</definedName>
    <definedName name="RetPltPwrR_Type" localSheetId="6">#REF!</definedName>
    <definedName name="RetPltPwrR_Type">#REF!</definedName>
    <definedName name="RetPltSglC_Desc" localSheetId="6">#REF!</definedName>
    <definedName name="RetPltSglC_Desc">#REF!</definedName>
    <definedName name="RetPltSglC_MdlName" localSheetId="6">#REF!</definedName>
    <definedName name="RetPltSglC_MdlName">#REF!</definedName>
    <definedName name="RetPltSglC_Plating" localSheetId="6">#REF!</definedName>
    <definedName name="RetPltSglC_Plating">#REF!</definedName>
    <definedName name="RetPltSglC_PN" localSheetId="6">#REF!</definedName>
    <definedName name="RetPltSglC_PN">#REF!</definedName>
    <definedName name="RetPltSglC_Size" localSheetId="6">#REF!</definedName>
    <definedName name="RetPltSglC_Size">#REF!</definedName>
    <definedName name="RetPltSglL__Desc" localSheetId="6">#REF!</definedName>
    <definedName name="RetPltSglL__Desc">#REF!</definedName>
    <definedName name="RetPltSglL_Desc" localSheetId="6">#REF!</definedName>
    <definedName name="RetPltSglL_Desc">#REF!</definedName>
    <definedName name="RetPltSglL_MdlName" localSheetId="6">#REF!</definedName>
    <definedName name="RetPltSglL_MdlName">#REF!</definedName>
    <definedName name="RetPltSglL_Plating" localSheetId="6">#REF!</definedName>
    <definedName name="RetPltSglL_Plating">#REF!</definedName>
    <definedName name="RetPltSglL_PN" localSheetId="6">#REF!</definedName>
    <definedName name="RetPltSglL_PN">#REF!</definedName>
    <definedName name="RetPltSglL_Size" localSheetId="6">#REF!</definedName>
    <definedName name="RetPltSglL_Size">#REF!</definedName>
    <definedName name="RetPltSglL_Type" localSheetId="6">#REF!</definedName>
    <definedName name="RetPltSglL_Type">#REF!</definedName>
    <definedName name="RetPltSglR_Desc" localSheetId="6">#REF!</definedName>
    <definedName name="RetPltSglR_Desc">#REF!</definedName>
    <definedName name="RetPltSglR_MdlName" localSheetId="6">#REF!</definedName>
    <definedName name="RetPltSglR_MdlName">#REF!</definedName>
    <definedName name="RetPltSglR_Plating" localSheetId="6">#REF!</definedName>
    <definedName name="RetPltSglR_Plating">#REF!</definedName>
    <definedName name="RetPltSglR_PN" localSheetId="6">#REF!</definedName>
    <definedName name="RetPltSglR_PN">#REF!</definedName>
    <definedName name="RetPltSglR_Size" localSheetId="6">#REF!</definedName>
    <definedName name="RetPltSglR_Size">#REF!</definedName>
    <definedName name="RetPltSglR_Type" localSheetId="6">#REF!</definedName>
    <definedName name="RetPltSglR_Type">#REF!</definedName>
    <definedName name="RetScrews_Desc" localSheetId="6">#REF!</definedName>
    <definedName name="RetScrews_Desc">#REF!</definedName>
    <definedName name="RetScrews_MdlName" localSheetId="6">#REF!</definedName>
    <definedName name="RetScrews_MdlName">#REF!</definedName>
    <definedName name="RetScrews_PN" localSheetId="6">#REF!</definedName>
    <definedName name="RetScrews_PN">#REF!</definedName>
    <definedName name="RetScrews_Size" localSheetId="6">#REF!</definedName>
    <definedName name="RetScrews_Size">#REF!</definedName>
    <definedName name="RetScrews_Type" localSheetId="6">#REF!</definedName>
    <definedName name="RetScrews_Type">#REF!</definedName>
    <definedName name="Shell_Desc" localSheetId="6">#REF!</definedName>
    <definedName name="Shell_Desc">#REF!</definedName>
    <definedName name="Shell_MdlName" localSheetId="6">#REF!</definedName>
    <definedName name="Shell_MdlName">#REF!</definedName>
    <definedName name="Shell_MntQty" localSheetId="6">#REF!</definedName>
    <definedName name="Shell_MntQty">#REF!</definedName>
    <definedName name="Shell_MntSize" localSheetId="6">#REF!</definedName>
    <definedName name="Shell_MntSize">#REF!</definedName>
    <definedName name="Shell_Plating" localSheetId="6">#REF!</definedName>
    <definedName name="Shell_Plating">#REF!</definedName>
    <definedName name="Shell_PN" localSheetId="6">#REF!</definedName>
    <definedName name="Shell_PN">#REF!</definedName>
    <definedName name="Shell_Size" localSheetId="6">#REF!</definedName>
    <definedName name="Shell_Size">#REF!</definedName>
    <definedName name="Shell_Type" localSheetId="6">#REF!</definedName>
    <definedName name="Shell_Type">#REF!</definedName>
    <definedName name="ShellDesc">'P-DRAWING BOM'!$D$7</definedName>
    <definedName name="ShellMdlName">'P-DRAWING BOM'!$C$7</definedName>
    <definedName name="ShellPN">'P-DRAWING BOM'!$B$7</definedName>
    <definedName name="Single_to_Single" localSheetId="6">OFFSET([1]!tblCableType[Type of Harness],0,0,COUNTA([1]!tblCableType[Type of Harness])-1,1)</definedName>
    <definedName name="Single_to_Single">OFFSET([1]!tblCableType[Type of Harness],0,0,COUNTA([1]!tblCableType[Type of Harness])-1,1)</definedName>
    <definedName name="TapePitch" localSheetId="6">Reference!$G$8</definedName>
    <definedName name="TapePitch">'Cable Harness Configuration'!$G$8</definedName>
    <definedName name="TapeStartDistance" localSheetId="6">Reference!$G$7</definedName>
    <definedName name="TapeStartDistance">'Cable Harness Configuration'!$G$7</definedName>
    <definedName name="TapeYesNo" localSheetId="6">Reference!$G$6</definedName>
    <definedName name="TapeYesNo">'Cable Harness Configuration'!$G$6</definedName>
    <definedName name="tblClassList" localSheetId="6">#REF!</definedName>
    <definedName name="tblClassList">#REF!</definedName>
    <definedName name="tblKeyingList" localSheetId="6">#REF!</definedName>
    <definedName name="tblKeyingList">#REF!</definedName>
    <definedName name="tblProductList" localSheetId="6">#REF!</definedName>
    <definedName name="tblProductList">#REF!</definedName>
    <definedName name="TrackDesign" localSheetId="6">Reference!#REF!</definedName>
    <definedName name="TrackDesign">'Cable Harness Configuration'!#REF!</definedName>
    <definedName name="WireDiamenterW1" localSheetId="6">Reference!$D$39</definedName>
    <definedName name="WireDiamenterW1">'Cable Harness Configuration'!$D$39</definedName>
    <definedName name="WireDiamenterW2" localSheetId="6">Reference!$D$40</definedName>
    <definedName name="WireDiamenterW2">'Cable Harness Configuration'!$D$40</definedName>
    <definedName name="WireDiamenterW3" localSheetId="6">Reference!$D$41</definedName>
    <definedName name="WireDiamenterW3">'Cable Harness Configuration'!$D$41</definedName>
    <definedName name="WireDiamenterW4" localSheetId="6">Reference!$D$42</definedName>
    <definedName name="WireDiamenterW4">'Cable Harness Configuration'!$D$42</definedName>
    <definedName name="WireRouteList" localSheetId="6">[1]!tblWireRoute[Wire Route]</definedName>
    <definedName name="WireRouteList">[1]!tblWireRoute[Wire Route]</definedName>
    <definedName name="WireTwistLength" localSheetId="6">Reference!$D$38</definedName>
    <definedName name="WireTwistLength">'Cable Harness Configuration'!$D$38</definedName>
    <definedName name="WireTwistPitch" localSheetId="6">Reference!$D$37</definedName>
    <definedName name="WireTwistPitch">'Cable Harness Configuration'!$D$37</definedName>
    <definedName name="WireTwistType" localSheetId="6">Reference!$D$36</definedName>
    <definedName name="WireTwistType">'Cable Harness Configuration'!$D$36</definedName>
    <definedName name="WireTwistTypeList" localSheetId="6">[1]!tableWireTwistType[Wire Twist Type]</definedName>
    <definedName name="WireTwistTypeList">[1]!tableWireTwistType[Wire Twist Type]</definedName>
    <definedName name="YesAndNo" localSheetId="6">[1]!tblYesNo[Yes and No]</definedName>
    <definedName name="YesAndNo">[1]!tblYesNo[Yes and No]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58" i="5" l="1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2" i="5"/>
  <c r="CI15" i="3"/>
  <c r="CG15" i="3"/>
  <c r="CE15" i="3"/>
  <c r="CC15" i="3"/>
  <c r="CA15" i="3"/>
  <c r="CI14" i="3"/>
  <c r="CG14" i="3"/>
  <c r="CE14" i="3"/>
  <c r="CC14" i="3"/>
  <c r="CA14" i="3"/>
  <c r="CI13" i="3"/>
  <c r="CG13" i="3"/>
  <c r="CE13" i="3"/>
  <c r="CC13" i="3"/>
  <c r="CA13" i="3"/>
  <c r="CI12" i="3"/>
  <c r="CG12" i="3"/>
  <c r="CE12" i="3"/>
  <c r="CC12" i="3"/>
  <c r="CA12" i="3"/>
  <c r="CI11" i="3"/>
  <c r="CG11" i="3"/>
  <c r="CE11" i="3"/>
  <c r="CC11" i="3"/>
  <c r="CA11" i="3"/>
  <c r="CI10" i="3"/>
  <c r="CG10" i="3"/>
  <c r="CE10" i="3"/>
  <c r="CC10" i="3"/>
  <c r="CA10" i="3"/>
  <c r="CI9" i="3"/>
  <c r="CG9" i="3"/>
  <c r="CE9" i="3"/>
  <c r="CC9" i="3"/>
  <c r="CA9" i="3"/>
  <c r="CI8" i="3"/>
  <c r="CG8" i="3"/>
  <c r="CE8" i="3"/>
  <c r="CC8" i="3"/>
  <c r="CA8" i="3"/>
  <c r="CI7" i="3"/>
  <c r="CG7" i="3"/>
  <c r="CE7" i="3"/>
  <c r="CC7" i="3"/>
  <c r="CA7" i="3"/>
  <c r="CI6" i="3"/>
  <c r="CG6" i="3"/>
  <c r="CE6" i="3"/>
  <c r="CC6" i="3"/>
  <c r="CA6" i="3"/>
  <c r="CI5" i="3"/>
  <c r="CG5" i="3"/>
  <c r="CE5" i="3"/>
  <c r="CC5" i="3"/>
  <c r="CA5" i="3"/>
  <c r="CI4" i="3"/>
  <c r="CG4" i="3"/>
  <c r="CE4" i="3"/>
  <c r="CC4" i="3"/>
  <c r="CA4" i="3"/>
  <c r="CI3" i="3"/>
  <c r="CG3" i="3"/>
  <c r="CE3" i="3"/>
  <c r="CC3" i="3"/>
  <c r="CA3" i="3"/>
  <c r="CI2" i="3"/>
  <c r="CG2" i="3"/>
  <c r="CE2" i="3"/>
  <c r="CC2" i="3"/>
  <c r="CA2" i="3"/>
  <c r="CX1" i="3"/>
  <c r="CW1" i="3"/>
  <c r="CV1" i="3"/>
  <c r="CZ1" i="3" s="1"/>
  <c r="DB1" i="3" s="1"/>
  <c r="CG1" i="3"/>
  <c r="CE1" i="3"/>
  <c r="CC1" i="3"/>
  <c r="CA1" i="3"/>
  <c r="CF44" i="1"/>
  <c r="CH44" i="1" s="1"/>
  <c r="CI44" i="1" s="1"/>
  <c r="CE44" i="1"/>
  <c r="CB44" i="1"/>
  <c r="CC44" i="1" s="1"/>
  <c r="CG44" i="1" s="1"/>
  <c r="CH43" i="1"/>
  <c r="CI43" i="1" s="1"/>
  <c r="CG43" i="1"/>
  <c r="CF43" i="1"/>
  <c r="CE43" i="1"/>
  <c r="CC43" i="1"/>
  <c r="CB43" i="1"/>
  <c r="CF42" i="1"/>
  <c r="CH42" i="1" s="1"/>
  <c r="CI42" i="1" s="1"/>
  <c r="CE42" i="1"/>
  <c r="CB42" i="1"/>
  <c r="CC42" i="1" s="1"/>
  <c r="CG42" i="1" s="1"/>
  <c r="CF41" i="1"/>
  <c r="CH41" i="1" s="1"/>
  <c r="CI41" i="1" s="1"/>
  <c r="CE41" i="1"/>
  <c r="CB41" i="1"/>
  <c r="CC41" i="1" s="1"/>
  <c r="CG41" i="1" s="1"/>
  <c r="CF40" i="1"/>
  <c r="CH40" i="1" s="1"/>
  <c r="CI40" i="1" s="1"/>
  <c r="CE40" i="1"/>
  <c r="CB40" i="1"/>
  <c r="CC40" i="1" s="1"/>
  <c r="CG40" i="1" s="1"/>
  <c r="CH39" i="1"/>
  <c r="CI39" i="1" s="1"/>
  <c r="CF39" i="1"/>
  <c r="CE39" i="1"/>
  <c r="CB39" i="1"/>
  <c r="CC39" i="1" s="1"/>
  <c r="CG39" i="1" s="1"/>
  <c r="CF38" i="1"/>
  <c r="CH38" i="1" s="1"/>
  <c r="CI38" i="1" s="1"/>
  <c r="CE38" i="1"/>
  <c r="CB38" i="1"/>
  <c r="CC38" i="1" s="1"/>
  <c r="CG38" i="1" s="1"/>
  <c r="CF37" i="1"/>
  <c r="CH37" i="1" s="1"/>
  <c r="CI37" i="1" s="1"/>
  <c r="CE37" i="1"/>
  <c r="CB37" i="1"/>
  <c r="CC37" i="1" s="1"/>
  <c r="CG37" i="1" s="1"/>
  <c r="CI36" i="1"/>
  <c r="CH36" i="1"/>
  <c r="CF36" i="1"/>
  <c r="CE36" i="1"/>
  <c r="CB36" i="1"/>
  <c r="CC36" i="1" s="1"/>
  <c r="CG36" i="1" s="1"/>
  <c r="CF35" i="1"/>
  <c r="CH35" i="1" s="1"/>
  <c r="CI35" i="1" s="1"/>
  <c r="CE35" i="1"/>
  <c r="CB35" i="1"/>
  <c r="CC35" i="1" s="1"/>
  <c r="CG35" i="1" s="1"/>
  <c r="CI34" i="1"/>
  <c r="CH34" i="1"/>
  <c r="CF34" i="1"/>
  <c r="CE34" i="1"/>
  <c r="CB34" i="1"/>
  <c r="CC34" i="1" s="1"/>
  <c r="CG34" i="1" s="1"/>
  <c r="CG33" i="1"/>
  <c r="CF33" i="1"/>
  <c r="CH33" i="1" s="1"/>
  <c r="CI33" i="1" s="1"/>
  <c r="CE33" i="1"/>
  <c r="CC33" i="1"/>
  <c r="CB33" i="1"/>
  <c r="CF32" i="1"/>
  <c r="CE32" i="1"/>
  <c r="CC32" i="1"/>
  <c r="CG32" i="1" s="1"/>
  <c r="CH32" i="1" s="1"/>
  <c r="CI32" i="1" s="1"/>
  <c r="CB32" i="1"/>
  <c r="CF31" i="1"/>
  <c r="CE31" i="1"/>
  <c r="CB31" i="1"/>
  <c r="CC31" i="1" s="1"/>
  <c r="CG31" i="1" s="1"/>
  <c r="CF30" i="1"/>
  <c r="CH30" i="1" s="1"/>
  <c r="CI30" i="1" s="1"/>
  <c r="CE30" i="1"/>
  <c r="CB30" i="1"/>
  <c r="CC30" i="1" s="1"/>
  <c r="CG30" i="1" s="1"/>
  <c r="CH29" i="1"/>
  <c r="CI29" i="1" s="1"/>
  <c r="CF29" i="1"/>
  <c r="CE29" i="1"/>
  <c r="CB29" i="1"/>
  <c r="CC29" i="1" s="1"/>
  <c r="CG29" i="1" s="1"/>
  <c r="CF28" i="1"/>
  <c r="CH28" i="1" s="1"/>
  <c r="CI28" i="1" s="1"/>
  <c r="CE28" i="1"/>
  <c r="CB28" i="1"/>
  <c r="CC28" i="1" s="1"/>
  <c r="CG28" i="1" s="1"/>
  <c r="CF27" i="1"/>
  <c r="CH27" i="1" s="1"/>
  <c r="CI27" i="1" s="1"/>
  <c r="CE27" i="1"/>
  <c r="CB27" i="1"/>
  <c r="CC27" i="1" s="1"/>
  <c r="CG27" i="1" s="1"/>
  <c r="CH26" i="1"/>
  <c r="CI26" i="1" s="1"/>
  <c r="CF26" i="1"/>
  <c r="CE26" i="1"/>
  <c r="CB26" i="1"/>
  <c r="CC26" i="1" s="1"/>
  <c r="CG26" i="1" s="1"/>
  <c r="CH25" i="1"/>
  <c r="CI25" i="1" s="1"/>
  <c r="CF25" i="1"/>
  <c r="CE25" i="1"/>
  <c r="CB25" i="1"/>
  <c r="CC25" i="1" s="1"/>
  <c r="CG25" i="1" s="1"/>
  <c r="CF24" i="1"/>
  <c r="CH24" i="1" s="1"/>
  <c r="CI24" i="1" s="1"/>
  <c r="CE24" i="1"/>
  <c r="CB24" i="1"/>
  <c r="CC24" i="1" s="1"/>
  <c r="CG24" i="1" s="1"/>
  <c r="CI23" i="1"/>
  <c r="CH23" i="1"/>
  <c r="CF23" i="1"/>
  <c r="CE23" i="1"/>
  <c r="CC23" i="1"/>
  <c r="CG23" i="1" s="1"/>
  <c r="CB23" i="1"/>
  <c r="CF22" i="1"/>
  <c r="CH22" i="1" s="1"/>
  <c r="CI22" i="1" s="1"/>
  <c r="CE22" i="1"/>
  <c r="CC22" i="1"/>
  <c r="CG22" i="1" s="1"/>
  <c r="CB22" i="1"/>
  <c r="CG21" i="1"/>
  <c r="CF21" i="1"/>
  <c r="CH21" i="1" s="1"/>
  <c r="CI21" i="1" s="1"/>
  <c r="CE21" i="1"/>
  <c r="CC21" i="1"/>
  <c r="CB21" i="1"/>
  <c r="CF20" i="1"/>
  <c r="CE20" i="1"/>
  <c r="CC20" i="1"/>
  <c r="CG20" i="1" s="1"/>
  <c r="CB20" i="1"/>
  <c r="CH19" i="1"/>
  <c r="CI19" i="1" s="1"/>
  <c r="CF19" i="1"/>
  <c r="CE19" i="1"/>
  <c r="CB19" i="1"/>
  <c r="CC19" i="1" s="1"/>
  <c r="CG19" i="1" s="1"/>
  <c r="CH18" i="1"/>
  <c r="CI18" i="1" s="1"/>
  <c r="CF18" i="1"/>
  <c r="CE18" i="1"/>
  <c r="CB18" i="1"/>
  <c r="CC18" i="1" s="1"/>
  <c r="CG18" i="1" s="1"/>
  <c r="CF17" i="1"/>
  <c r="CE17" i="1"/>
  <c r="CB17" i="1"/>
  <c r="CC17" i="1" s="1"/>
  <c r="CG17" i="1" s="1"/>
  <c r="CH17" i="1" s="1"/>
  <c r="CI17" i="1" s="1"/>
  <c r="CF16" i="1"/>
  <c r="CH16" i="1" s="1"/>
  <c r="CI16" i="1" s="1"/>
  <c r="CE16" i="1"/>
  <c r="CB16" i="1"/>
  <c r="CC16" i="1" s="1"/>
  <c r="CG16" i="1" s="1"/>
  <c r="CF15" i="1"/>
  <c r="CE15" i="1"/>
  <c r="CB15" i="1"/>
  <c r="CC15" i="1" s="1"/>
  <c r="CG15" i="1" s="1"/>
  <c r="CF14" i="1"/>
  <c r="CE14" i="1"/>
  <c r="CB14" i="1"/>
  <c r="CC14" i="1" s="1"/>
  <c r="CG14" i="1" s="1"/>
  <c r="CH14" i="1" s="1"/>
  <c r="CI14" i="1" s="1"/>
  <c r="CF13" i="1"/>
  <c r="CE13" i="1"/>
  <c r="CB13" i="1"/>
  <c r="CC13" i="1" s="1"/>
  <c r="CG13" i="1" s="1"/>
  <c r="CH13" i="1" s="1"/>
  <c r="CI13" i="1" s="1"/>
  <c r="CF12" i="1"/>
  <c r="CH12" i="1" s="1"/>
  <c r="CI12" i="1" s="1"/>
  <c r="CE12" i="1"/>
  <c r="CB12" i="1"/>
  <c r="CC12" i="1" s="1"/>
  <c r="CG12" i="1" s="1"/>
  <c r="CF11" i="1"/>
  <c r="CE11" i="1"/>
  <c r="CC11" i="1"/>
  <c r="CG11" i="1" s="1"/>
  <c r="CH11" i="1" s="1"/>
  <c r="CI11" i="1" s="1"/>
  <c r="CB11" i="1"/>
  <c r="CF10" i="1"/>
  <c r="CE10" i="1"/>
  <c r="CC10" i="1"/>
  <c r="CG10" i="1" s="1"/>
  <c r="CB10" i="1"/>
  <c r="CG9" i="1"/>
  <c r="CF9" i="1"/>
  <c r="CH9" i="1" s="1"/>
  <c r="CI9" i="1" s="1"/>
  <c r="CE9" i="1"/>
  <c r="CC9" i="1"/>
  <c r="CB9" i="1"/>
  <c r="CF8" i="1"/>
  <c r="CH8" i="1" s="1"/>
  <c r="CI8" i="1" s="1"/>
  <c r="CE8" i="1"/>
  <c r="CC8" i="1"/>
  <c r="CG8" i="1" s="1"/>
  <c r="CB8" i="1"/>
  <c r="CF7" i="1"/>
  <c r="CE7" i="1"/>
  <c r="CB7" i="1"/>
  <c r="CC7" i="1" s="1"/>
  <c r="CG7" i="1" s="1"/>
  <c r="CH7" i="1" s="1"/>
  <c r="CI7" i="1" s="1"/>
  <c r="CF6" i="1"/>
  <c r="CH6" i="1" s="1"/>
  <c r="CI6" i="1" s="1"/>
  <c r="CE6" i="1"/>
  <c r="CB6" i="1"/>
  <c r="CC6" i="1" s="1"/>
  <c r="CG6" i="1" s="1"/>
  <c r="CF5" i="1"/>
  <c r="CE5" i="1"/>
  <c r="CB5" i="1"/>
  <c r="CC5" i="1" s="1"/>
  <c r="CG5" i="1" s="1"/>
  <c r="CH5" i="1" s="1"/>
  <c r="CI5" i="1" s="1"/>
  <c r="CF4" i="1"/>
  <c r="CH4" i="1" s="1"/>
  <c r="CI4" i="1" s="1"/>
  <c r="CE4" i="1"/>
  <c r="CB4" i="1"/>
  <c r="CC4" i="1" s="1"/>
  <c r="CG4" i="1" s="1"/>
  <c r="CF3" i="1"/>
  <c r="CE3" i="1"/>
  <c r="CB3" i="1"/>
  <c r="CC3" i="1" s="1"/>
  <c r="CG3" i="1" s="1"/>
  <c r="CF2" i="1"/>
  <c r="CE2" i="1"/>
  <c r="CB2" i="1"/>
  <c r="CC2" i="1" s="1"/>
  <c r="CG2" i="1" s="1"/>
  <c r="CH2" i="1" s="1"/>
  <c r="CH20" i="1" l="1"/>
  <c r="CI20" i="1" s="1"/>
  <c r="CH3" i="1"/>
  <c r="CI3" i="1" s="1"/>
  <c r="CH10" i="1"/>
  <c r="CI10" i="1" s="1"/>
  <c r="CH15" i="1"/>
  <c r="CI15" i="1" s="1"/>
  <c r="CH31" i="1"/>
  <c r="CI31" i="1" s="1"/>
  <c r="CI2" i="1"/>
  <c r="CJ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us082982</author>
    <author>Miller, Zachary</author>
  </authors>
  <commentList>
    <comment ref="I5" authorId="0" shapeId="0" xr:uid="{6CF0E5D7-4140-43A2-BE4A-A6419307F127}">
      <text>
        <r>
          <rPr>
            <sz val="9"/>
            <color indexed="81"/>
            <rFont val="Tahoma"/>
            <family val="2"/>
          </rPr>
          <t>List Contact Info Below</t>
        </r>
      </text>
    </comment>
    <comment ref="C6" authorId="1" shapeId="0" xr:uid="{861518A4-CE51-4AC0-94B6-E28A84A8056B}">
      <text>
        <r>
          <rPr>
            <b/>
            <sz val="9"/>
            <color indexed="81"/>
            <rFont val="Tahoma"/>
            <family val="2"/>
          </rPr>
          <t>This is the name of Cable Assembly that will be created.</t>
        </r>
      </text>
    </comment>
    <comment ref="C7" authorId="1" shapeId="0" xr:uid="{0E62D98E-233E-4A56-870C-7D7F957EB698}">
      <text>
        <r>
          <rPr>
            <b/>
            <sz val="9"/>
            <color indexed="81"/>
            <rFont val="Tahoma"/>
            <family val="2"/>
          </rPr>
          <t>This is the customer PN for display on the drawing.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us082982</author>
    <author>Miller, Zachary</author>
  </authors>
  <commentList>
    <comment ref="I5" authorId="0" shapeId="0" xr:uid="{011A21C0-BB2D-4511-9E15-172CCBA97B63}">
      <text>
        <r>
          <rPr>
            <sz val="9"/>
            <color indexed="81"/>
            <rFont val="Tahoma"/>
            <family val="2"/>
          </rPr>
          <t>List Contact Info Below</t>
        </r>
      </text>
    </comment>
    <comment ref="C6" authorId="1" shapeId="0" xr:uid="{EE9A0530-54BD-4C12-A923-84A6FD30158B}">
      <text>
        <r>
          <rPr>
            <b/>
            <sz val="9"/>
            <color indexed="81"/>
            <rFont val="Tahoma"/>
            <family val="2"/>
          </rPr>
          <t>This is the name of Cable Assembly that will be created.</t>
        </r>
      </text>
    </comment>
    <comment ref="C7" authorId="1" shapeId="0" xr:uid="{7705A763-C786-4CD3-B7A8-B247A82CD648}">
      <text>
        <r>
          <rPr>
            <b/>
            <sz val="9"/>
            <color indexed="81"/>
            <rFont val="Tahoma"/>
            <family val="2"/>
          </rPr>
          <t>This is the customer PN for display on the drawing.</t>
        </r>
      </text>
    </comment>
    <comment ref="C28" authorId="1" shapeId="0" xr:uid="{E063C078-7170-44D1-8AAD-11340BE6FD17}">
      <text>
        <r>
          <rPr>
            <b/>
            <sz val="9"/>
            <color indexed="81"/>
            <rFont val="Tahoma"/>
            <family val="2"/>
          </rPr>
          <t>The side of the harness on which the multiple position connector is located.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<sst xmlns="http://schemas.openxmlformats.org/spreadsheetml/2006/main" count="285" uniqueCount="179">
  <si>
    <t>Parameter</t>
  </si>
  <si>
    <t>Value</t>
  </si>
  <si>
    <t>Color : Conditional</t>
  </si>
  <si>
    <t>Color : Main</t>
  </si>
  <si>
    <t>Color - Condition</t>
  </si>
  <si>
    <t>Value - Condition</t>
  </si>
  <si>
    <t>Errors Yes/No</t>
  </si>
  <si>
    <t>Comment</t>
  </si>
  <si>
    <t>Error Count</t>
  </si>
  <si>
    <t>Assembly Name/PN:</t>
  </si>
  <si>
    <t>Please enter assembly name / part number</t>
  </si>
  <si>
    <t>Cable Harness Configuration</t>
  </si>
  <si>
    <t>Version:</t>
  </si>
  <si>
    <t>Customer P/N:</t>
  </si>
  <si>
    <t>Please enter customer P/N</t>
  </si>
  <si>
    <t>Customer Code:</t>
  </si>
  <si>
    <t>Please Enter Customer code</t>
  </si>
  <si>
    <t xml:space="preserve">General Information </t>
  </si>
  <si>
    <t>Tape Option</t>
  </si>
  <si>
    <t>Pin Out Chart</t>
  </si>
  <si>
    <t>Drawing size</t>
  </si>
  <si>
    <t>Data Input Prompt (Example : Drawing Size)</t>
  </si>
  <si>
    <t>Drawing Size:</t>
  </si>
  <si>
    <t>Please Enter Drawing size</t>
  </si>
  <si>
    <t>Add Tape:</t>
  </si>
  <si>
    <t>Left</t>
  </si>
  <si>
    <t>Right</t>
  </si>
  <si>
    <t>A1</t>
  </si>
  <si>
    <t>Pull Down List (Example : Single to Single)</t>
  </si>
  <si>
    <t>Drawing Notes:</t>
  </si>
  <si>
    <t>Please Enter Drawing notes</t>
  </si>
  <si>
    <t>Tape Starting Distance (mm):</t>
  </si>
  <si>
    <t>Entered Data (Example : Harness Length)</t>
  </si>
  <si>
    <t>Packing Note:</t>
  </si>
  <si>
    <t>Please Enter Packing note</t>
  </si>
  <si>
    <t>LEAR</t>
  </si>
  <si>
    <t>Tape Pitch (mm):</t>
  </si>
  <si>
    <t>abc</t>
  </si>
  <si>
    <t>Not applicable Data</t>
  </si>
  <si>
    <t>Coil Diameter:</t>
  </si>
  <si>
    <t>Please Enter Coil diameter</t>
  </si>
  <si>
    <t>Position-3</t>
  </si>
  <si>
    <t>Non Default Data</t>
  </si>
  <si>
    <t>Customer Drawing:</t>
  </si>
  <si>
    <t>Please Enter Customer drawing</t>
  </si>
  <si>
    <t>Drawing Information</t>
  </si>
  <si>
    <t>Multiple connector cavity pitch</t>
  </si>
  <si>
    <t xml:space="preserve">Drawing Title:  </t>
  </si>
  <si>
    <t>Please Enter Drawing title</t>
  </si>
  <si>
    <t>A2</t>
  </si>
  <si>
    <t>Connector-1 cavity pitch (mm)</t>
  </si>
  <si>
    <t>Color Code</t>
  </si>
  <si>
    <t xml:space="preserve">Drawn By:  </t>
  </si>
  <si>
    <t>Please Enter Drawn by</t>
  </si>
  <si>
    <t>Infotainment cable notes</t>
  </si>
  <si>
    <t>Connector-2 cavity pitch (mm)</t>
  </si>
  <si>
    <t xml:space="preserve">Checked By:  </t>
  </si>
  <si>
    <t>Please Enter Checked by</t>
  </si>
  <si>
    <t>Included</t>
  </si>
  <si>
    <t xml:space="preserve">Approved By:  </t>
  </si>
  <si>
    <t>Please Enter Approved by</t>
  </si>
  <si>
    <t>Coil Diameter (mm):</t>
  </si>
  <si>
    <t xml:space="preserve">Drawn Date:  </t>
  </si>
  <si>
    <t>Please Enter Drawn date</t>
  </si>
  <si>
    <t>Fully Populated</t>
  </si>
  <si>
    <t xml:space="preserve">Checked Date:  </t>
  </si>
  <si>
    <t>Please Enter Checked date</t>
  </si>
  <si>
    <t xml:space="preserve">Approved Date:  </t>
  </si>
  <si>
    <t>Please Enter Approved date</t>
  </si>
  <si>
    <t>Drawing : Title Block Information</t>
  </si>
  <si>
    <t>Cable Harness Type:</t>
  </si>
  <si>
    <t>Please Enter Cable type</t>
  </si>
  <si>
    <t>Multiple Pos. Connector Side:</t>
  </si>
  <si>
    <t>Please Enter Multiple side</t>
  </si>
  <si>
    <t>H. Ajjan</t>
  </si>
  <si>
    <t>Number of Position:</t>
  </si>
  <si>
    <t>Please Enter Number position</t>
  </si>
  <si>
    <t>Y. Eddahbi</t>
  </si>
  <si>
    <t>Harness Length D1:</t>
  </si>
  <si>
    <t>Please Enter Harness d1</t>
  </si>
  <si>
    <t>S. Chehboun</t>
  </si>
  <si>
    <t>Harness Length D2:</t>
  </si>
  <si>
    <t>Please Enter Harness d2</t>
  </si>
  <si>
    <t xml:space="preserve">Drawn Date (dd/mm/yy) :  </t>
  </si>
  <si>
    <t>Harness Length D3:</t>
  </si>
  <si>
    <t>Please Enter Harness d3</t>
  </si>
  <si>
    <t xml:space="preserve">Checked Date (dd/mm/yy) :  </t>
  </si>
  <si>
    <t>Harness Length D4:</t>
  </si>
  <si>
    <t>Please Enter Harness d4</t>
  </si>
  <si>
    <t xml:space="preserve">Approved Date (dd/mm/yy) :  </t>
  </si>
  <si>
    <t>Wire Twist Type:</t>
  </si>
  <si>
    <t>Please Enter Wire type</t>
  </si>
  <si>
    <t>Wire Twist Pitch:</t>
  </si>
  <si>
    <t>Please Enter Wire pitch</t>
  </si>
  <si>
    <t>Wire Twist Length:</t>
  </si>
  <si>
    <t>Please Enter Wire length</t>
  </si>
  <si>
    <t>Single to Single</t>
  </si>
  <si>
    <t>Wire Diameter W1:</t>
  </si>
  <si>
    <t>Please Enter Wire w1</t>
  </si>
  <si>
    <t>Wire Diameter W2:</t>
  </si>
  <si>
    <t>Please Enter Wire w2</t>
  </si>
  <si>
    <t>Wire Diameter W3:</t>
  </si>
  <si>
    <t>Please Enter Wire w3</t>
  </si>
  <si>
    <t>Harness Length D1(mm):</t>
  </si>
  <si>
    <t>Wire Diameter W4:</t>
  </si>
  <si>
    <t>Please Enter Wire w4</t>
  </si>
  <si>
    <t>Harness Length D2(mm):</t>
  </si>
  <si>
    <t>Connector-1 Rotation:</t>
  </si>
  <si>
    <t>Please Enter Connector rotation</t>
  </si>
  <si>
    <t>Harness Length D3(mm):</t>
  </si>
  <si>
    <t>Connector-2 Rotation:</t>
  </si>
  <si>
    <t>Harness Length D4(mm):</t>
  </si>
  <si>
    <t>Connector-3 Rotation:</t>
  </si>
  <si>
    <t>Connector-4 Rotation:</t>
  </si>
  <si>
    <t>Wire Specification</t>
  </si>
  <si>
    <t>Connector-5 Rotation:</t>
  </si>
  <si>
    <t>Please Enter Add tape</t>
  </si>
  <si>
    <t>Wire Twist Pitch(mm):</t>
  </si>
  <si>
    <t>Tape Starting Distance:</t>
  </si>
  <si>
    <t>Please Enter Tape distance</t>
  </si>
  <si>
    <t>Wire Twist Length(mm):</t>
  </si>
  <si>
    <t>Tape Pitch:</t>
  </si>
  <si>
    <t>Please Enter Tape pitch</t>
  </si>
  <si>
    <t>Wire Diameter W1(mm):</t>
  </si>
  <si>
    <t>Connector-1 cavity pitch</t>
  </si>
  <si>
    <t>Please Enter Connector pitch</t>
  </si>
  <si>
    <t>Wire Diameter W2(mm):</t>
  </si>
  <si>
    <t>Connector-2 cavity pitch</t>
  </si>
  <si>
    <t>Wire Diameter W3(mm):</t>
  </si>
  <si>
    <t>Position-1</t>
  </si>
  <si>
    <t>Please Enter Position position</t>
  </si>
  <si>
    <t>Wire Diameter W4(mm):</t>
  </si>
  <si>
    <t>Position-2</t>
  </si>
  <si>
    <t>Connector Rotation (degrees)</t>
  </si>
  <si>
    <t>Position-4</t>
  </si>
  <si>
    <t xml:space="preserve">REMARKS </t>
  </si>
  <si>
    <t>DESCRIPTION</t>
  </si>
  <si>
    <t>ITEM</t>
  </si>
  <si>
    <t>Level</t>
  </si>
  <si>
    <t>Position</t>
  </si>
  <si>
    <t>COAXIAL CABLE 50 OHM RTK031 KOAXIAL KABEL 50 OHM RTK031</t>
  </si>
  <si>
    <t>Blank</t>
  </si>
  <si>
    <t>FERRULE</t>
  </si>
  <si>
    <t>Connector_1</t>
  </si>
  <si>
    <t>CENTER CONTACT, JACK - 3 SERRATIONS</t>
  </si>
  <si>
    <t>JACK SUBASSEMBLY, RTK031 , HF , FAKRA II</t>
  </si>
  <si>
    <t>FAKRA II, PLUG HSG, VW, SEALED, TUBE CODE A, BLACK</t>
  </si>
  <si>
    <t>Connector_2</t>
  </si>
  <si>
    <t>JACK HOUSING CODE A BLACK, 1WAY, FAKRA 2</t>
  </si>
  <si>
    <t>QTY REQD PER ASSY</t>
  </si>
  <si>
    <t>U/M</t>
  </si>
  <si>
    <t>PART NO</t>
  </si>
  <si>
    <t>1832731-1</t>
  </si>
  <si>
    <t>2138495-3</t>
  </si>
  <si>
    <t>1452727CA-A.ASM</t>
  </si>
  <si>
    <t>1557475-1</t>
  </si>
  <si>
    <t>1438887-3</t>
  </si>
  <si>
    <t>2112226_A</t>
  </si>
  <si>
    <t>LABEL</t>
  </si>
  <si>
    <t>956339-2</t>
  </si>
  <si>
    <t>CABLE</t>
  </si>
  <si>
    <t>1719794_cas</t>
  </si>
  <si>
    <t>MULTIPLE-CONNECTOR</t>
  </si>
  <si>
    <t>SINGLE-CONNECTOR</t>
  </si>
  <si>
    <t>X</t>
  </si>
  <si>
    <t>Y</t>
  </si>
  <si>
    <t>Z</t>
  </si>
  <si>
    <t>Sr. No.</t>
  </si>
  <si>
    <t>From</t>
  </si>
  <si>
    <t>To</t>
  </si>
  <si>
    <t>Wire Route</t>
  </si>
  <si>
    <t>Wire Route Left</t>
  </si>
  <si>
    <t>Wire Route Right</t>
  </si>
  <si>
    <t>Connector Rotation 1:</t>
  </si>
  <si>
    <t>Connector Rotation 2:</t>
  </si>
  <si>
    <t>Connector Rotation 3:</t>
  </si>
  <si>
    <t>Connector Rotation 4:</t>
  </si>
  <si>
    <t>Connector Rotation 5: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</si>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</sst>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d/mmm/yy;@"/>
    <numFmt numFmtId="165" formatCode="[$-409]d\-mmm\-yy;@"/>
  </numFmts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C000"/>
        <bgColor theme="0"/>
      </patternFill>
    </fill>
    <fill>
      <patternFill patternType="solid">
        <fgColor rgb="FFFFFFCC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rgb="FFDDDDD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2" fillId="2" borderId="0" xfId="0" applyFont="1" applyFill="1"/>
    <xf numFmtId="0" fontId="0" fillId="3" borderId="0" xfId="0" applyFill="1"/>
    <xf numFmtId="0" fontId="0" fillId="4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5" borderId="3" xfId="0" applyFont="1" applyFill="1" applyBorder="1" applyAlignment="1">
      <alignment horizontal="right"/>
    </xf>
    <xf numFmtId="0" fontId="0" fillId="5" borderId="4" xfId="0" applyFill="1" applyBorder="1" applyAlignment="1">
      <alignment horizontal="center"/>
    </xf>
    <xf numFmtId="0" fontId="0" fillId="5" borderId="4" xfId="0" applyFill="1" applyBorder="1"/>
    <xf numFmtId="0" fontId="2" fillId="5" borderId="4" xfId="0" applyFont="1" applyFill="1" applyBorder="1"/>
    <xf numFmtId="0" fontId="0" fillId="5" borderId="5" xfId="0" applyFill="1" applyBorder="1"/>
    <xf numFmtId="0" fontId="0" fillId="6" borderId="0" xfId="0" applyFill="1"/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7" borderId="4" xfId="0" applyFill="1" applyBorder="1" applyAlignment="1">
      <alignment vertical="center"/>
    </xf>
    <xf numFmtId="0" fontId="0" fillId="7" borderId="5" xfId="0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6" borderId="0" xfId="0" applyFill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0" fillId="5" borderId="7" xfId="0" applyFill="1" applyBorder="1"/>
    <xf numFmtId="0" fontId="0" fillId="5" borderId="8" xfId="0" applyFill="1" applyBorder="1"/>
    <xf numFmtId="0" fontId="0" fillId="2" borderId="0" xfId="0" applyFill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5" borderId="12" xfId="0" applyFill="1" applyBorder="1"/>
    <xf numFmtId="0" fontId="2" fillId="8" borderId="1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right"/>
    </xf>
    <xf numFmtId="0" fontId="2" fillId="8" borderId="1" xfId="0" applyFont="1" applyFill="1" applyBorder="1" applyAlignment="1">
      <alignment horizontal="right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right" vertical="center" wrapText="1"/>
    </xf>
    <xf numFmtId="0" fontId="2" fillId="5" borderId="13" xfId="0" applyFont="1" applyFill="1" applyBorder="1" applyAlignment="1">
      <alignment horizontal="right" vertical="center"/>
    </xf>
    <xf numFmtId="0" fontId="0" fillId="5" borderId="1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right" vertical="center"/>
    </xf>
    <xf numFmtId="2" fontId="0" fillId="5" borderId="14" xfId="0" applyNumberFormat="1" applyFill="1" applyBorder="1" applyAlignment="1">
      <alignment horizontal="center" vertical="center"/>
    </xf>
    <xf numFmtId="0" fontId="5" fillId="11" borderId="1" xfId="0" applyFont="1" applyFill="1" applyBorder="1" applyAlignment="1">
      <alignment vertical="center"/>
    </xf>
    <xf numFmtId="0" fontId="2" fillId="8" borderId="1" xfId="0" applyFont="1" applyFill="1" applyBorder="1" applyAlignment="1">
      <alignment horizontal="left" vertical="center"/>
    </xf>
    <xf numFmtId="49" fontId="0" fillId="5" borderId="0" xfId="0" applyNumberFormat="1" applyFill="1" applyAlignment="1">
      <alignment horizontal="center" vertical="center"/>
    </xf>
    <xf numFmtId="0" fontId="2" fillId="5" borderId="0" xfId="0" applyFont="1" applyFill="1" applyAlignment="1">
      <alignment horizontal="right" vertical="center"/>
    </xf>
    <xf numFmtId="2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9" borderId="1" xfId="0" quotePrefix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0" fontId="2" fillId="5" borderId="9" xfId="0" applyFont="1" applyFill="1" applyBorder="1" applyAlignment="1">
      <alignment horizontal="right" wrapText="1"/>
    </xf>
    <xf numFmtId="0" fontId="0" fillId="5" borderId="0" xfId="0" applyFill="1" applyAlignment="1">
      <alignment wrapText="1"/>
    </xf>
    <xf numFmtId="0" fontId="2" fillId="5" borderId="0" xfId="0" applyFont="1" applyFill="1" applyAlignment="1">
      <alignment horizontal="right" vertical="center" wrapText="1"/>
    </xf>
    <xf numFmtId="0" fontId="0" fillId="5" borderId="0" xfId="0" applyFill="1" applyAlignment="1">
      <alignment horizontal="center" vertical="center" wrapText="1"/>
    </xf>
    <xf numFmtId="49" fontId="0" fillId="5" borderId="0" xfId="0" applyNumberFormat="1" applyFill="1" applyAlignment="1">
      <alignment horizontal="center" vertical="center" wrapText="1"/>
    </xf>
    <xf numFmtId="0" fontId="0" fillId="5" borderId="12" xfId="0" applyFill="1" applyBorder="1" applyAlignment="1">
      <alignment wrapText="1"/>
    </xf>
    <xf numFmtId="0" fontId="0" fillId="3" borderId="0" xfId="0" applyFill="1" applyAlignment="1">
      <alignment wrapText="1"/>
    </xf>
    <xf numFmtId="0" fontId="0" fillId="6" borderId="0" xfId="0" applyFill="1" applyAlignment="1">
      <alignment wrapText="1"/>
    </xf>
    <xf numFmtId="0" fontId="0" fillId="6" borderId="1" xfId="0" applyFill="1" applyBorder="1" applyAlignment="1">
      <alignment horizontal="center" vertical="center" wrapText="1"/>
    </xf>
    <xf numFmtId="14" fontId="0" fillId="9" borderId="1" xfId="0" quotePrefix="1" applyNumberFormat="1" applyFill="1" applyBorder="1" applyAlignment="1">
      <alignment horizontal="center" vertical="center"/>
    </xf>
    <xf numFmtId="164" fontId="0" fillId="9" borderId="1" xfId="0" quotePrefix="1" applyNumberFormat="1" applyFill="1" applyBorder="1" applyAlignment="1">
      <alignment horizontal="center" vertical="center"/>
    </xf>
    <xf numFmtId="0" fontId="2" fillId="8" borderId="15" xfId="0" applyFont="1" applyFill="1" applyBorder="1" applyAlignment="1">
      <alignment horizontal="right" vertical="center"/>
    </xf>
    <xf numFmtId="0" fontId="2" fillId="8" borderId="15" xfId="0" applyFont="1" applyFill="1" applyBorder="1" applyAlignment="1">
      <alignment horizontal="right" vertical="center" wrapText="1"/>
    </xf>
    <xf numFmtId="0" fontId="0" fillId="10" borderId="1" xfId="0" applyFill="1" applyBorder="1" applyAlignment="1">
      <alignment horizontal="center" vertical="center" wrapText="1"/>
    </xf>
    <xf numFmtId="2" fontId="0" fillId="9" borderId="1" xfId="0" applyNumberFormat="1" applyFill="1" applyBorder="1" applyAlignment="1">
      <alignment horizontal="center" vertical="center" wrapText="1"/>
    </xf>
    <xf numFmtId="0" fontId="2" fillId="5" borderId="0" xfId="0" applyFont="1" applyFill="1" applyAlignment="1">
      <alignment vertical="center" wrapText="1"/>
    </xf>
    <xf numFmtId="0" fontId="2" fillId="5" borderId="0" xfId="0" applyFont="1" applyFill="1" applyAlignment="1">
      <alignment vertical="center"/>
    </xf>
    <xf numFmtId="0" fontId="0" fillId="10" borderId="1" xfId="0" quotePrefix="1" applyFill="1" applyBorder="1" applyAlignment="1">
      <alignment horizontal="center" vertical="center"/>
    </xf>
    <xf numFmtId="2" fontId="0" fillId="9" borderId="1" xfId="0" quotePrefix="1" applyNumberForma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center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5" borderId="16" xfId="0" applyFont="1" applyFill="1" applyBorder="1" applyAlignment="1">
      <alignment horizontal="right"/>
    </xf>
    <xf numFmtId="0" fontId="2" fillId="5" borderId="17" xfId="0" applyFont="1" applyFill="1" applyBorder="1" applyAlignment="1">
      <alignment horizontal="right"/>
    </xf>
    <xf numFmtId="1" fontId="0" fillId="5" borderId="18" xfId="0" applyNumberFormat="1" applyFill="1" applyBorder="1" applyAlignment="1">
      <alignment horizontal="center" vertical="center"/>
    </xf>
    <xf numFmtId="1" fontId="0" fillId="5" borderId="17" xfId="0" applyNumberFormat="1" applyFill="1" applyBorder="1" applyAlignment="1">
      <alignment horizontal="center" vertical="center"/>
    </xf>
    <xf numFmtId="1" fontId="0" fillId="5" borderId="19" xfId="0" applyNumberForma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0" borderId="1" xfId="0" applyBorder="1"/>
    <xf numFmtId="0" fontId="2" fillId="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12" borderId="1" xfId="0" applyFont="1" applyFill="1" applyBorder="1" applyAlignment="1">
      <alignment horizontal="right" vertical="center"/>
    </xf>
    <xf numFmtId="49" fontId="2" fillId="12" borderId="1" xfId="0" applyNumberFormat="1" applyFont="1" applyFill="1" applyBorder="1" applyAlignment="1">
      <alignment horizontal="center" vertical="center"/>
    </xf>
    <xf numFmtId="49" fontId="0" fillId="9" borderId="1" xfId="0" applyNumberFormat="1" applyFill="1" applyBorder="1" applyAlignment="1">
      <alignment horizontal="center" vertical="center"/>
    </xf>
    <xf numFmtId="49" fontId="0" fillId="10" borderId="1" xfId="0" applyNumberForma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right" vertical="center" wrapText="1"/>
    </xf>
    <xf numFmtId="165" fontId="0" fillId="9" borderId="1" xfId="0" quotePrefix="1" applyNumberFormat="1" applyFill="1" applyBorder="1" applyAlignment="1">
      <alignment horizontal="center" vertical="center"/>
    </xf>
    <xf numFmtId="0" fontId="2" fillId="12" borderId="15" xfId="0" applyFont="1" applyFill="1" applyBorder="1" applyAlignment="1">
      <alignment horizontal="right" vertical="center"/>
    </xf>
    <xf numFmtId="0" fontId="2" fillId="12" borderId="15" xfId="0" applyFont="1" applyFill="1" applyBorder="1" applyAlignment="1">
      <alignment horizontal="right" vertical="center" wrapText="1"/>
    </xf>
    <xf numFmtId="1" fontId="0" fillId="9" borderId="1" xfId="0" applyNumberForma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2" borderId="1" xfId="0" applyFill="1" applyBorder="1" applyAlignment="1">
      <alignment horizontal="left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 wrapText="1"/>
    </xf>
    <xf numFmtId="0" fontId="2" fillId="8" borderId="11" xfId="0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2" fillId="12" borderId="1" xfId="0" applyFont="1" applyFill="1" applyBorder="1" applyAlignment="1">
      <alignment horizontal="center" vertical="center"/>
    </xf>
    <xf numFmtId="0" fontId="2" fillId="12" borderId="10" xfId="0" applyFont="1" applyFill="1" applyBorder="1" applyAlignment="1">
      <alignment horizontal="center" vertical="center" wrapText="1"/>
    </xf>
    <xf numFmtId="0" fontId="2" fillId="12" borderId="11" xfId="0" applyFont="1" applyFill="1" applyBorder="1" applyAlignment="1">
      <alignment horizontal="center" vertical="center" wrapText="1"/>
    </xf>
    <xf numFmtId="49" fontId="2" fillId="12" borderId="15" xfId="0" applyNumberFormat="1" applyFont="1" applyFill="1" applyBorder="1" applyAlignment="1">
      <alignment horizontal="center" vertical="center" wrapText="1"/>
    </xf>
    <xf numFmtId="49" fontId="2" fillId="12" borderId="2" xfId="0" applyNumberFormat="1" applyFont="1" applyFill="1" applyBorder="1" applyAlignment="1">
      <alignment horizontal="center" vertical="center" wrapText="1"/>
    </xf>
    <xf numFmtId="0" fontId="2" fillId="12" borderId="15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</cellXfs>
  <cellStyles count="1">
    <cellStyle name="Normal" xfId="0" builtinId="0"/>
  </cellStyles>
  <dxfs count="50"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emf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jpg"/><Relationship Id="rId13" Type="http://schemas.openxmlformats.org/officeDocument/2006/relationships/image" Target="../media/image5.png"/><Relationship Id="rId18" Type="http://schemas.openxmlformats.org/officeDocument/2006/relationships/image" Target="../media/image25.png"/><Relationship Id="rId3" Type="http://schemas.openxmlformats.org/officeDocument/2006/relationships/image" Target="../media/image15.jpg"/><Relationship Id="rId7" Type="http://schemas.openxmlformats.org/officeDocument/2006/relationships/image" Target="../media/image19.jpg"/><Relationship Id="rId12" Type="http://schemas.openxmlformats.org/officeDocument/2006/relationships/image" Target="../media/image6.png"/><Relationship Id="rId17" Type="http://schemas.openxmlformats.org/officeDocument/2006/relationships/image" Target="../media/image24.png"/><Relationship Id="rId2" Type="http://schemas.openxmlformats.org/officeDocument/2006/relationships/image" Target="../media/image14.jpg"/><Relationship Id="rId16" Type="http://schemas.openxmlformats.org/officeDocument/2006/relationships/image" Target="../media/image23.png"/><Relationship Id="rId20" Type="http://schemas.openxmlformats.org/officeDocument/2006/relationships/image" Target="../media/image12.png"/><Relationship Id="rId1" Type="http://schemas.openxmlformats.org/officeDocument/2006/relationships/image" Target="../media/image13.jpg"/><Relationship Id="rId6" Type="http://schemas.openxmlformats.org/officeDocument/2006/relationships/image" Target="../media/image18.jpg"/><Relationship Id="rId11" Type="http://schemas.openxmlformats.org/officeDocument/2006/relationships/image" Target="../media/image3.emf"/><Relationship Id="rId5" Type="http://schemas.openxmlformats.org/officeDocument/2006/relationships/image" Target="../media/image17.jpg"/><Relationship Id="rId15" Type="http://schemas.openxmlformats.org/officeDocument/2006/relationships/image" Target="../media/image22.png"/><Relationship Id="rId10" Type="http://schemas.openxmlformats.org/officeDocument/2006/relationships/image" Target="../media/image2.emf"/><Relationship Id="rId19" Type="http://schemas.openxmlformats.org/officeDocument/2006/relationships/image" Target="../media/image11.png"/><Relationship Id="rId4" Type="http://schemas.openxmlformats.org/officeDocument/2006/relationships/image" Target="../media/image16.jpg"/><Relationship Id="rId9" Type="http://schemas.openxmlformats.org/officeDocument/2006/relationships/image" Target="../media/image21.jpg"/><Relationship Id="rId1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1.jpeg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57150</xdr:rowOff>
    </xdr:from>
    <xdr:to>
      <xdr:col>2</xdr:col>
      <xdr:colOff>1530059</xdr:colOff>
      <xdr:row>1</xdr:row>
      <xdr:rowOff>1019175</xdr:rowOff>
    </xdr:to>
    <xdr:pic>
      <xdr:nvPicPr>
        <xdr:cNvPr id="2" name="picTe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6" t="15598" r="10656" b="15515"/>
        <a:stretch/>
      </xdr:blipFill>
      <xdr:spPr>
        <a:xfrm>
          <a:off x="318135" y="247650"/>
          <a:ext cx="1714844" cy="962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1009650</xdr:colOff>
          <xdr:row>1</xdr:row>
          <xdr:rowOff>247650</xdr:rowOff>
        </xdr:from>
        <xdr:to>
          <xdr:col>11</xdr:col>
          <xdr:colOff>200025</xdr:colOff>
          <xdr:row>1</xdr:row>
          <xdr:rowOff>781050</xdr:rowOff>
        </xdr:to>
        <xdr:sp macro="" textlink="">
          <xdr:nvSpPr>
            <xdr:cNvPr id="1025" name="DisplayLegen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Cable Harness Configurator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342900</xdr:colOff>
      <xdr:row>56</xdr:row>
      <xdr:rowOff>123825</xdr:rowOff>
    </xdr:from>
    <xdr:to>
      <xdr:col>5</xdr:col>
      <xdr:colOff>480060</xdr:colOff>
      <xdr:row>67</xdr:row>
      <xdr:rowOff>133350</xdr:rowOff>
    </xdr:to>
    <xdr:sp macro="" textlink="">
      <xdr:nvSpPr>
        <xdr:cNvPr id="4" name="AutoShape 3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45820" y="14914245"/>
          <a:ext cx="3931920" cy="20897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92075</xdr:colOff>
      <xdr:row>13</xdr:row>
      <xdr:rowOff>41275</xdr:rowOff>
    </xdr:from>
    <xdr:to>
      <xdr:col>8</xdr:col>
      <xdr:colOff>482110</xdr:colOff>
      <xdr:row>21</xdr:row>
      <xdr:rowOff>73294</xdr:rowOff>
    </xdr:to>
    <xdr:pic>
      <xdr:nvPicPr>
        <xdr:cNvPr id="5" name="picMutiMulti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2555" y="4156075"/>
          <a:ext cx="4146695" cy="1975119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13</xdr:row>
      <xdr:rowOff>41275</xdr:rowOff>
    </xdr:from>
    <xdr:to>
      <xdr:col>8</xdr:col>
      <xdr:colOff>482110</xdr:colOff>
      <xdr:row>17</xdr:row>
      <xdr:rowOff>206638</xdr:rowOff>
    </xdr:to>
    <xdr:pic>
      <xdr:nvPicPr>
        <xdr:cNvPr id="6" name="picSingleSingl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2555" y="4156075"/>
          <a:ext cx="4146695" cy="1171203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13</xdr:row>
      <xdr:rowOff>41275</xdr:rowOff>
    </xdr:from>
    <xdr:to>
      <xdr:col>9</xdr:col>
      <xdr:colOff>800437</xdr:colOff>
      <xdr:row>19</xdr:row>
      <xdr:rowOff>190763</xdr:rowOff>
    </xdr:to>
    <xdr:pic>
      <xdr:nvPicPr>
        <xdr:cNvPr id="7" name="MULTI_MULTI_2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32555" y="4156075"/>
          <a:ext cx="5501342" cy="1589668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13</xdr:row>
      <xdr:rowOff>41275</xdr:rowOff>
    </xdr:from>
    <xdr:to>
      <xdr:col>9</xdr:col>
      <xdr:colOff>794340</xdr:colOff>
      <xdr:row>21</xdr:row>
      <xdr:rowOff>16292</xdr:rowOff>
    </xdr:to>
    <xdr:pic>
      <xdr:nvPicPr>
        <xdr:cNvPr id="8" name="MULTI_MULTI_3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32555" y="4156075"/>
          <a:ext cx="5495245" cy="1918117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13</xdr:row>
      <xdr:rowOff>41275</xdr:rowOff>
    </xdr:from>
    <xdr:to>
      <xdr:col>9</xdr:col>
      <xdr:colOff>830920</xdr:colOff>
      <xdr:row>22</xdr:row>
      <xdr:rowOff>131387</xdr:rowOff>
    </xdr:to>
    <xdr:pic>
      <xdr:nvPicPr>
        <xdr:cNvPr id="9" name="MULTI_MULTI_4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32555" y="4156075"/>
          <a:ext cx="5531825" cy="2284672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13</xdr:row>
      <xdr:rowOff>41275</xdr:rowOff>
    </xdr:from>
    <xdr:to>
      <xdr:col>9</xdr:col>
      <xdr:colOff>49040</xdr:colOff>
      <xdr:row>21</xdr:row>
      <xdr:rowOff>193855</xdr:rowOff>
    </xdr:to>
    <xdr:pic>
      <xdr:nvPicPr>
        <xdr:cNvPr id="10" name="picLeftMutiSingle2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32555" y="4156075"/>
          <a:ext cx="4749945" cy="2095680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13</xdr:row>
      <xdr:rowOff>41275</xdr:rowOff>
    </xdr:from>
    <xdr:to>
      <xdr:col>9</xdr:col>
      <xdr:colOff>49040</xdr:colOff>
      <xdr:row>24</xdr:row>
      <xdr:rowOff>56747</xdr:rowOff>
    </xdr:to>
    <xdr:pic>
      <xdr:nvPicPr>
        <xdr:cNvPr id="11" name="picLeftMutiSingle3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932555" y="4156075"/>
          <a:ext cx="4749945" cy="2712952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13</xdr:row>
      <xdr:rowOff>41275</xdr:rowOff>
    </xdr:from>
    <xdr:to>
      <xdr:col>9</xdr:col>
      <xdr:colOff>49040</xdr:colOff>
      <xdr:row>26</xdr:row>
      <xdr:rowOff>187103</xdr:rowOff>
    </xdr:to>
    <xdr:pic>
      <xdr:nvPicPr>
        <xdr:cNvPr id="12" name="picLeftMutiSingle4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32555" y="4156075"/>
          <a:ext cx="4749945" cy="3346228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13</xdr:row>
      <xdr:rowOff>41275</xdr:rowOff>
    </xdr:from>
    <xdr:to>
      <xdr:col>9</xdr:col>
      <xdr:colOff>49040</xdr:colOff>
      <xdr:row>21</xdr:row>
      <xdr:rowOff>193855</xdr:rowOff>
    </xdr:to>
    <xdr:pic>
      <xdr:nvPicPr>
        <xdr:cNvPr id="13" name="picRightMutiSingle2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32555" y="4156075"/>
          <a:ext cx="4749945" cy="2095680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13</xdr:row>
      <xdr:rowOff>41275</xdr:rowOff>
    </xdr:from>
    <xdr:to>
      <xdr:col>9</xdr:col>
      <xdr:colOff>49040</xdr:colOff>
      <xdr:row>24</xdr:row>
      <xdr:rowOff>17882</xdr:rowOff>
    </xdr:to>
    <xdr:pic>
      <xdr:nvPicPr>
        <xdr:cNvPr id="14" name="picRightMutiSingle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932555" y="4156075"/>
          <a:ext cx="4749945" cy="2674087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13</xdr:row>
      <xdr:rowOff>41275</xdr:rowOff>
    </xdr:from>
    <xdr:to>
      <xdr:col>9</xdr:col>
      <xdr:colOff>90956</xdr:colOff>
      <xdr:row>27</xdr:row>
      <xdr:rowOff>419</xdr:rowOff>
    </xdr:to>
    <xdr:pic>
      <xdr:nvPicPr>
        <xdr:cNvPr id="15" name="picRightMutiSingle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932555" y="4156075"/>
          <a:ext cx="4791861" cy="3411004"/>
        </a:xfrm>
        <a:prstGeom prst="rect">
          <a:avLst/>
        </a:prstGeom>
      </xdr:spPr>
    </xdr:pic>
    <xdr:clientData/>
  </xdr:twoCellAnchor>
  <xdr:twoCellAnchor>
    <xdr:from>
      <xdr:col>5</xdr:col>
      <xdr:colOff>1226820</xdr:colOff>
      <xdr:row>1</xdr:row>
      <xdr:rowOff>289560</xdr:rowOff>
    </xdr:from>
    <xdr:to>
      <xdr:col>7</xdr:col>
      <xdr:colOff>419100</xdr:colOff>
      <xdr:row>1</xdr:row>
      <xdr:rowOff>762000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524500" y="480060"/>
          <a:ext cx="2034540" cy="472440"/>
        </a:xfrm>
        <a:prstGeom prst="roundRect">
          <a:avLst/>
        </a:prstGeom>
        <a:solidFill>
          <a:srgbClr val="00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Design verified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323850</xdr:rowOff>
        </xdr:from>
        <xdr:to>
          <xdr:col>5</xdr:col>
          <xdr:colOff>247650</xdr:colOff>
          <xdr:row>1</xdr:row>
          <xdr:rowOff>733425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16</xdr:row>
      <xdr:rowOff>85725</xdr:rowOff>
    </xdr:from>
    <xdr:to>
      <xdr:col>6</xdr:col>
      <xdr:colOff>428625</xdr:colOff>
      <xdr:row>27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678555" y="3019425"/>
          <a:ext cx="5482590" cy="2057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12700</xdr:colOff>
      <xdr:row>15</xdr:row>
      <xdr:rowOff>178435</xdr:rowOff>
    </xdr:to>
    <xdr:pic>
      <xdr:nvPicPr>
        <xdr:cNvPr id="3" name="Picture 2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0420" y="1039495"/>
          <a:ext cx="4137660" cy="188976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12700</xdr:colOff>
      <xdr:row>15</xdr:row>
      <xdr:rowOff>178435</xdr:rowOff>
    </xdr:to>
    <xdr:pic>
      <xdr:nvPicPr>
        <xdr:cNvPr id="4" name="Picture 3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0420" y="1039495"/>
          <a:ext cx="4137660" cy="188976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12700</xdr:colOff>
      <xdr:row>11</xdr:row>
      <xdr:rowOff>127000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0420" y="1039495"/>
          <a:ext cx="4137660" cy="1106805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22</xdr:row>
      <xdr:rowOff>50800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0420" y="1039495"/>
          <a:ext cx="4709160" cy="3042285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19</xdr:row>
      <xdr:rowOff>12700</xdr:rowOff>
    </xdr:to>
    <xdr:pic>
      <xdr:nvPicPr>
        <xdr:cNvPr id="7" name="Picture 6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0420" y="1039495"/>
          <a:ext cx="4709160" cy="2455545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15</xdr:row>
      <xdr:rowOff>178435</xdr:rowOff>
    </xdr:to>
    <xdr:pic>
      <xdr:nvPicPr>
        <xdr:cNvPr id="8" name="Picture 7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0420" y="1039495"/>
          <a:ext cx="4709160" cy="188976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22</xdr:row>
      <xdr:rowOff>50800</xdr:rowOff>
    </xdr:to>
    <xdr:pic>
      <xdr:nvPicPr>
        <xdr:cNvPr id="9" name="Picture 8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0420" y="1039495"/>
          <a:ext cx="4709160" cy="3042285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19</xdr:row>
      <xdr:rowOff>12700</xdr:rowOff>
    </xdr:to>
    <xdr:pic>
      <xdr:nvPicPr>
        <xdr:cNvPr id="10" name="Picture 9" hidden="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0420" y="1039495"/>
          <a:ext cx="4709160" cy="2455545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15</xdr:row>
      <xdr:rowOff>178435</xdr:rowOff>
    </xdr:to>
    <xdr:pic>
      <xdr:nvPicPr>
        <xdr:cNvPr id="11" name="Picture 10" hidden="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0420" y="1039495"/>
          <a:ext cx="4709160" cy="188976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15</xdr:row>
      <xdr:rowOff>178435</xdr:rowOff>
    </xdr:to>
    <xdr:pic>
      <xdr:nvPicPr>
        <xdr:cNvPr id="12" name="Picture 11" hidden="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0420" y="1039495"/>
          <a:ext cx="4709160" cy="188976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21</xdr:col>
      <xdr:colOff>231775</xdr:colOff>
      <xdr:row>30</xdr:row>
      <xdr:rowOff>31750</xdr:rowOff>
    </xdr:to>
    <xdr:pic>
      <xdr:nvPicPr>
        <xdr:cNvPr id="13" name="Picture 12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0420" y="1039495"/>
          <a:ext cx="8105775" cy="4493895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285750</xdr:colOff>
      <xdr:row>5</xdr:row>
      <xdr:rowOff>142875</xdr:rowOff>
    </xdr:from>
    <xdr:to>
      <xdr:col>15</xdr:col>
      <xdr:colOff>561975</xdr:colOff>
      <xdr:row>22</xdr:row>
      <xdr:rowOff>76200</xdr:rowOff>
    </xdr:to>
    <xdr:sp macro="" textlink="">
      <xdr:nvSpPr>
        <xdr:cNvPr id="14" name="AutoShape 85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12218670" y="1064895"/>
          <a:ext cx="4718685" cy="30422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16020</xdr:colOff>
      <xdr:row>15</xdr:row>
      <xdr:rowOff>179974</xdr:rowOff>
    </xdr:to>
    <xdr:pic>
      <xdr:nvPicPr>
        <xdr:cNvPr id="15" name="picMutiMulti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0420" y="1039495"/>
          <a:ext cx="4140980" cy="1891299"/>
        </a:xfrm>
        <a:prstGeom prst="rect">
          <a:avLst/>
        </a:prstGeom>
      </xdr:spPr>
    </xdr:pic>
    <xdr:clientData/>
  </xdr:twoCellAnchor>
  <xdr:twoCellAnchor editAs="oneCell">
    <xdr:from>
      <xdr:col>10</xdr:col>
      <xdr:colOff>212725</xdr:colOff>
      <xdr:row>10</xdr:row>
      <xdr:rowOff>117475</xdr:rowOff>
    </xdr:from>
    <xdr:to>
      <xdr:col>16</xdr:col>
      <xdr:colOff>358920</xdr:colOff>
      <xdr:row>16</xdr:row>
      <xdr:rowOff>126628</xdr:rowOff>
    </xdr:to>
    <xdr:pic>
      <xdr:nvPicPr>
        <xdr:cNvPr id="16" name="picSingleSingle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7685" y="1953895"/>
          <a:ext cx="4131455" cy="1106433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17</xdr:col>
      <xdr:colOff>147660</xdr:colOff>
      <xdr:row>17</xdr:row>
      <xdr:rowOff>93287</xdr:rowOff>
    </xdr:to>
    <xdr:pic>
      <xdr:nvPicPr>
        <xdr:cNvPr id="17" name="MULTI_MULTI_4" hidden="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250420" y="1039495"/>
          <a:ext cx="5522300" cy="2170372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17</xdr:col>
      <xdr:colOff>111080</xdr:colOff>
      <xdr:row>15</xdr:row>
      <xdr:rowOff>96302</xdr:rowOff>
    </xdr:to>
    <xdr:pic>
      <xdr:nvPicPr>
        <xdr:cNvPr id="18" name="MULTI_MULTI_3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250420" y="1039495"/>
          <a:ext cx="5485720" cy="1807627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17</xdr:col>
      <xdr:colOff>117177</xdr:colOff>
      <xdr:row>14</xdr:row>
      <xdr:rowOff>263</xdr:rowOff>
    </xdr:to>
    <xdr:pic>
      <xdr:nvPicPr>
        <xdr:cNvPr id="19" name="MULTI_MULTI_2" hidden="1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250420" y="1039495"/>
          <a:ext cx="5491817" cy="1528708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592600</xdr:colOff>
      <xdr:row>16</xdr:row>
      <xdr:rowOff>94795</xdr:rowOff>
    </xdr:to>
    <xdr:pic>
      <xdr:nvPicPr>
        <xdr:cNvPr id="20" name="picLeftMutiSingle2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250420" y="1039495"/>
          <a:ext cx="4717560" cy="19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604030</xdr:colOff>
      <xdr:row>19</xdr:row>
      <xdr:rowOff>125327</xdr:rowOff>
    </xdr:to>
    <xdr:pic>
      <xdr:nvPicPr>
        <xdr:cNvPr id="21" name="picLeftMutiSingle3" hidden="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250420" y="1039495"/>
          <a:ext cx="4728990" cy="2568172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592600</xdr:colOff>
      <xdr:row>23</xdr:row>
      <xdr:rowOff>2318</xdr:rowOff>
    </xdr:to>
    <xdr:pic>
      <xdr:nvPicPr>
        <xdr:cNvPr id="22" name="picLeftMutiSingle4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250420" y="1039495"/>
          <a:ext cx="4717560" cy="3184303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592600</xdr:colOff>
      <xdr:row>16</xdr:row>
      <xdr:rowOff>94795</xdr:rowOff>
    </xdr:to>
    <xdr:pic>
      <xdr:nvPicPr>
        <xdr:cNvPr id="23" name="picRightMutiSingle2" hidden="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2250420" y="1039495"/>
          <a:ext cx="4717560" cy="19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592600</xdr:colOff>
      <xdr:row>19</xdr:row>
      <xdr:rowOff>90272</xdr:rowOff>
    </xdr:to>
    <xdr:pic>
      <xdr:nvPicPr>
        <xdr:cNvPr id="24" name="picRightMutiSingle3" hidden="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50420" y="1039495"/>
          <a:ext cx="4717560" cy="2533117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16</xdr:col>
      <xdr:colOff>43966</xdr:colOff>
      <xdr:row>23</xdr:row>
      <xdr:rowOff>44234</xdr:rowOff>
    </xdr:to>
    <xdr:pic>
      <xdr:nvPicPr>
        <xdr:cNvPr id="25" name="picRightMutiSingle4" hidden="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50420" y="1039495"/>
          <a:ext cx="4793766" cy="32262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57150</xdr:rowOff>
    </xdr:from>
    <xdr:to>
      <xdr:col>3</xdr:col>
      <xdr:colOff>28919</xdr:colOff>
      <xdr:row>1</xdr:row>
      <xdr:rowOff>1019175</xdr:rowOff>
    </xdr:to>
    <xdr:pic>
      <xdr:nvPicPr>
        <xdr:cNvPr id="2" name="picTeLog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6" t="15598" r="10656" b="15515"/>
        <a:stretch/>
      </xdr:blipFill>
      <xdr:spPr>
        <a:xfrm>
          <a:off x="318135" y="247650"/>
          <a:ext cx="1714844" cy="962025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342900</xdr:colOff>
      <xdr:row>49</xdr:row>
      <xdr:rowOff>0</xdr:rowOff>
    </xdr:from>
    <xdr:to>
      <xdr:col>5</xdr:col>
      <xdr:colOff>800100</xdr:colOff>
      <xdr:row>57</xdr:row>
      <xdr:rowOff>180975</xdr:rowOff>
    </xdr:to>
    <xdr:sp macro="" textlink="">
      <xdr:nvSpPr>
        <xdr:cNvPr id="3" name="AutoShape 3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45820" y="13197840"/>
          <a:ext cx="3931920" cy="2192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1152525</xdr:colOff>
      <xdr:row>25</xdr:row>
      <xdr:rowOff>228600</xdr:rowOff>
    </xdr:from>
    <xdr:to>
      <xdr:col>10</xdr:col>
      <xdr:colOff>295275</xdr:colOff>
      <xdr:row>34</xdr:row>
      <xdr:rowOff>28575</xdr:rowOff>
    </xdr:to>
    <xdr:sp macro="" textlink="">
      <xdr:nvSpPr>
        <xdr:cNvPr id="4" name="AutoShape 2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5130165" y="7277100"/>
          <a:ext cx="3966210" cy="21774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22</xdr:row>
      <xdr:rowOff>104546</xdr:rowOff>
    </xdr:to>
    <xdr:pic>
      <xdr:nvPicPr>
        <xdr:cNvPr id="5" name="picLeftMutiSingle4" hidden="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6840" y="3192145"/>
          <a:ext cx="4711322" cy="3206521"/>
        </a:xfrm>
        <a:prstGeom prst="rect">
          <a:avLst/>
        </a:prstGeom>
      </xdr:spPr>
    </xdr:pic>
    <xdr:clientData/>
  </xdr:twoCellAnchor>
  <xdr:twoCellAnchor editAs="oneCell">
    <xdr:from>
      <xdr:col>5</xdr:col>
      <xdr:colOff>1123950</xdr:colOff>
      <xdr:row>26</xdr:row>
      <xdr:rowOff>85725</xdr:rowOff>
    </xdr:from>
    <xdr:to>
      <xdr:col>12</xdr:col>
      <xdr:colOff>9525</xdr:colOff>
      <xdr:row>38</xdr:row>
      <xdr:rowOff>152400</xdr:rowOff>
    </xdr:to>
    <xdr:sp macro="" textlink="">
      <xdr:nvSpPr>
        <xdr:cNvPr id="6" name="AutoShape 29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5101590" y="7385685"/>
          <a:ext cx="4760595" cy="3198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790575</xdr:colOff>
      <xdr:row>14</xdr:row>
      <xdr:rowOff>66675</xdr:rowOff>
    </xdr:from>
    <xdr:to>
      <xdr:col>11</xdr:col>
      <xdr:colOff>190500</xdr:colOff>
      <xdr:row>27</xdr:row>
      <xdr:rowOff>76200</xdr:rowOff>
    </xdr:to>
    <xdr:sp macro="" textlink="">
      <xdr:nvSpPr>
        <xdr:cNvPr id="7" name="AutoShape 8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4768215" y="4417695"/>
          <a:ext cx="4749165" cy="3209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19</xdr:row>
      <xdr:rowOff>235605</xdr:rowOff>
    </xdr:to>
    <xdr:pic>
      <xdr:nvPicPr>
        <xdr:cNvPr id="8" name="picLeftMutiSingle3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6840" y="3192145"/>
          <a:ext cx="4711322" cy="258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17</xdr:row>
      <xdr:rowOff>61864</xdr:rowOff>
    </xdr:to>
    <xdr:pic>
      <xdr:nvPicPr>
        <xdr:cNvPr id="9" name="picLeftMutiSingle2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6840" y="3192145"/>
          <a:ext cx="4711322" cy="1975119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22</xdr:row>
      <xdr:rowOff>104546</xdr:rowOff>
    </xdr:to>
    <xdr:pic>
      <xdr:nvPicPr>
        <xdr:cNvPr id="10" name="picRightMutiSingle4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6840" y="3192145"/>
          <a:ext cx="4711322" cy="3206521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19</xdr:row>
      <xdr:rowOff>235605</xdr:rowOff>
    </xdr:to>
    <xdr:pic>
      <xdr:nvPicPr>
        <xdr:cNvPr id="11" name="picRightMutiSingle3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6840" y="3192145"/>
          <a:ext cx="4711322" cy="2583200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17</xdr:row>
      <xdr:rowOff>61864</xdr:rowOff>
    </xdr:to>
    <xdr:pic>
      <xdr:nvPicPr>
        <xdr:cNvPr id="12" name="picRightMutiSingle2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6840" y="3192145"/>
          <a:ext cx="4711322" cy="1975119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381145</xdr:colOff>
      <xdr:row>17</xdr:row>
      <xdr:rowOff>61864</xdr:rowOff>
    </xdr:to>
    <xdr:pic>
      <xdr:nvPicPr>
        <xdr:cNvPr id="13" name="picMutiMulti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6840" y="3192145"/>
          <a:ext cx="4135265" cy="1975119"/>
        </a:xfrm>
        <a:prstGeom prst="rect">
          <a:avLst/>
        </a:prstGeom>
      </xdr:spPr>
    </xdr:pic>
    <xdr:clientData/>
  </xdr:twoCellAnchor>
  <xdr:twoCellAnchor editAs="oneCell">
    <xdr:from>
      <xdr:col>5</xdr:col>
      <xdr:colOff>149225</xdr:colOff>
      <xdr:row>14</xdr:row>
      <xdr:rowOff>117475</xdr:rowOff>
    </xdr:from>
    <xdr:to>
      <xdr:col>9</xdr:col>
      <xdr:colOff>571645</xdr:colOff>
      <xdr:row>19</xdr:row>
      <xdr:rowOff>88528</xdr:rowOff>
    </xdr:to>
    <xdr:pic>
      <xdr:nvPicPr>
        <xdr:cNvPr id="14" name="picSingleSingle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6865" y="4468495"/>
          <a:ext cx="4125740" cy="115977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en/Cable_Harness_Configu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ble Harness Configuration"/>
      <sheetName val="P-DRAWING BOM"/>
      <sheetName val="MODEL BOM"/>
      <sheetName val="C-DRAWING BOM"/>
      <sheetName val="Co-ordinates_Points"/>
      <sheetName val="Pin Out Chart General"/>
      <sheetName val="Sheet1"/>
      <sheetName val="General Lists"/>
      <sheetName val="Reference"/>
      <sheetName val="Cable_Harness_Configurator"/>
    </sheetNames>
    <definedNames>
      <definedName name="Button16_Click"/>
      <definedName name="DisplayLegend_Click"/>
    </defined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64824-467E-42A5-864A-628DCF7B1CF3}">
  <sheetPr codeName="Sheet1"/>
  <dimension ref="A1:DA86"/>
  <sheetViews>
    <sheetView zoomScaleNormal="100" workbookViewId="0">
      <pane xSplit="1" ySplit="3" topLeftCell="B4" activePane="bottomRight" state="frozen"/>
      <selection activeCell="Q24" sqref="Q24"/>
      <selection pane="topRight" activeCell="Q24" sqref="Q24"/>
      <selection pane="bottomLeft" activeCell="Q24" sqref="Q24"/>
      <selection pane="bottomRight" activeCell="L10" sqref="L10"/>
    </sheetView>
  </sheetViews>
  <sheetFormatPr defaultColWidth="9.140625" defaultRowHeight="15" x14ac:dyDescent="0.25"/>
  <cols>
    <col min="1" max="1" width="3.7109375" style="1" customWidth="1"/>
    <col min="2" max="2" width="3.7109375" style="2" customWidth="1"/>
    <col min="3" max="3" width="26.5703125" style="3" customWidth="1"/>
    <col min="4" max="4" width="22.140625" style="1" bestFit="1" customWidth="1"/>
    <col min="5" max="5" width="6.7109375" style="4" customWidth="1"/>
    <col min="6" max="6" width="27.140625" style="1" bestFit="1" customWidth="1"/>
    <col min="7" max="7" width="14.28515625" style="1" bestFit="1" customWidth="1"/>
    <col min="8" max="8" width="6.7109375" style="1" customWidth="1"/>
    <col min="9" max="9" width="15.140625" style="1" bestFit="1" customWidth="1"/>
    <col min="10" max="10" width="16.28515625" style="1" bestFit="1" customWidth="1"/>
    <col min="11" max="12" width="7.7109375" style="1" customWidth="1"/>
    <col min="13" max="13" width="11.7109375" style="1" customWidth="1"/>
    <col min="14" max="14" width="15.85546875" style="1" customWidth="1"/>
    <col min="15" max="26" width="11.7109375" style="1" customWidth="1"/>
    <col min="27" max="27" width="16.140625" style="1" customWidth="1"/>
    <col min="28" max="28" width="40.42578125" style="1" customWidth="1"/>
    <col min="29" max="33" width="9.140625" style="1"/>
    <col min="34" max="78" width="9.140625" style="5"/>
    <col min="79" max="79" width="25.28515625" style="76" customWidth="1"/>
    <col min="80" max="80" width="21.7109375" style="77" customWidth="1"/>
    <col min="81" max="81" width="21.7109375" style="5" customWidth="1"/>
    <col min="82" max="82" width="16.28515625" style="5" customWidth="1"/>
    <col min="83" max="83" width="11" style="77" customWidth="1"/>
    <col min="84" max="84" width="15" style="5" customWidth="1"/>
    <col min="85" max="85" width="15.140625" style="5" customWidth="1"/>
    <col min="86" max="86" width="40.7109375" style="76" customWidth="1"/>
    <col min="87" max="87" width="67.42578125" style="76" customWidth="1"/>
    <col min="88" max="88" width="26.28515625" style="5" customWidth="1"/>
    <col min="89" max="103" width="9.140625" style="5"/>
    <col min="104" max="104" width="11" style="77" customWidth="1"/>
    <col min="105" max="105" width="53.42578125" style="76" customWidth="1"/>
    <col min="106" max="16384" width="9.140625" style="5"/>
  </cols>
  <sheetData>
    <row r="1" spans="1:105" ht="15" customHeight="1" thickBot="1" x14ac:dyDescent="0.3">
      <c r="CA1" s="6" t="s">
        <v>0</v>
      </c>
      <c r="CB1" s="7" t="s">
        <v>1</v>
      </c>
      <c r="CC1" s="8" t="s">
        <v>0</v>
      </c>
      <c r="CD1" s="8" t="s">
        <v>2</v>
      </c>
      <c r="CE1" s="8" t="s">
        <v>3</v>
      </c>
      <c r="CF1" s="7" t="s">
        <v>4</v>
      </c>
      <c r="CG1" s="7" t="s">
        <v>5</v>
      </c>
      <c r="CH1" s="7" t="s">
        <v>6</v>
      </c>
      <c r="CI1" s="7" t="s">
        <v>7</v>
      </c>
      <c r="CJ1" s="9" t="s">
        <v>8</v>
      </c>
      <c r="CZ1" s="8" t="s">
        <v>3</v>
      </c>
      <c r="DA1" s="7" t="s">
        <v>7</v>
      </c>
    </row>
    <row r="2" spans="1:105" s="15" customFormat="1" ht="84.95" customHeight="1" thickBot="1" x14ac:dyDescent="0.3">
      <c r="A2" s="5"/>
      <c r="B2" s="10"/>
      <c r="C2" s="11"/>
      <c r="D2" s="12"/>
      <c r="E2" s="13"/>
      <c r="F2" s="12"/>
      <c r="G2" s="12"/>
      <c r="H2" s="12"/>
      <c r="I2" s="12"/>
      <c r="J2" s="12"/>
      <c r="K2" s="12"/>
      <c r="L2" s="14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5"/>
      <c r="CA2" s="16" t="s">
        <v>9</v>
      </c>
      <c r="CB2" s="17" t="str">
        <f>TRIM(AssemblyName)</f>
        <v>1234569</v>
      </c>
      <c r="CC2" s="18" t="str">
        <f>TRIM(CB2)</f>
        <v>1234569</v>
      </c>
      <c r="CD2" s="18">
        <v>13434828</v>
      </c>
      <c r="CE2" s="18">
        <f>CZ2</f>
        <v>13434828</v>
      </c>
      <c r="CF2" s="18">
        <f>IF(CD2=8421504,0,1)</f>
        <v>1</v>
      </c>
      <c r="CG2" s="18">
        <f>IF(CC2&lt;&gt;"",0,1)</f>
        <v>0</v>
      </c>
      <c r="CH2" s="18">
        <f>IF(CF2=0,0,CG2)</f>
        <v>0</v>
      </c>
      <c r="CI2" s="18" t="str">
        <f>IF(CH2=0,"",DA2)</f>
        <v/>
      </c>
      <c r="CJ2" s="18">
        <f>COUNTIF(CH:CH,1)</f>
        <v>0</v>
      </c>
      <c r="CZ2" s="18">
        <v>13434828</v>
      </c>
      <c r="DA2" s="19" t="s">
        <v>10</v>
      </c>
    </row>
    <row r="3" spans="1:105" s="15" customFormat="1" ht="30" customHeight="1" thickBot="1" x14ac:dyDescent="0.3">
      <c r="A3" s="5"/>
      <c r="B3" s="116" t="s">
        <v>11</v>
      </c>
      <c r="C3" s="117"/>
      <c r="D3" s="117"/>
      <c r="E3" s="117"/>
      <c r="F3" s="117"/>
      <c r="G3" s="117"/>
      <c r="H3" s="117"/>
      <c r="I3" s="117"/>
      <c r="J3" s="117"/>
      <c r="K3" s="20" t="s">
        <v>12</v>
      </c>
      <c r="L3" s="21">
        <v>6</v>
      </c>
      <c r="M3" s="22"/>
      <c r="N3" s="22"/>
      <c r="O3" s="22"/>
      <c r="P3" s="22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5"/>
      <c r="CA3" s="16" t="s">
        <v>13</v>
      </c>
      <c r="CB3" s="17" t="str">
        <f>TRIM(CustomerNumber)</f>
        <v>1234569</v>
      </c>
      <c r="CC3" s="18" t="str">
        <f t="shared" ref="CC3:CC44" si="0">TRIM(CB3)</f>
        <v>1234569</v>
      </c>
      <c r="CD3" s="18">
        <v>13434828</v>
      </c>
      <c r="CE3" s="18">
        <f t="shared" ref="CE3:CE44" si="1">CZ3</f>
        <v>13434828</v>
      </c>
      <c r="CF3" s="18">
        <f t="shared" ref="CF3:CF44" si="2">IF(CD3=8421504,0,1)</f>
        <v>1</v>
      </c>
      <c r="CG3" s="18">
        <f t="shared" ref="CG3:CG44" si="3">IF(CC3&lt;&gt;"",0,1)</f>
        <v>0</v>
      </c>
      <c r="CH3" s="18">
        <f t="shared" ref="CH3:CH44" si="4">IF(CF3=0,0,CG3)</f>
        <v>0</v>
      </c>
      <c r="CI3" s="18" t="str">
        <f t="shared" ref="CI3:CI44" si="5">IF(CH3=0,"",DA3)</f>
        <v/>
      </c>
      <c r="CJ3" s="23"/>
      <c r="CZ3" s="18">
        <v>13434828</v>
      </c>
      <c r="DA3" s="19" t="s">
        <v>14</v>
      </c>
    </row>
    <row r="4" spans="1:105" s="15" customFormat="1" ht="15" customHeight="1" x14ac:dyDescent="0.25">
      <c r="B4" s="24"/>
      <c r="C4" s="25"/>
      <c r="D4" s="25"/>
      <c r="E4" s="25"/>
      <c r="F4" s="25"/>
      <c r="G4" s="25"/>
      <c r="H4" s="25"/>
      <c r="I4" s="25"/>
      <c r="J4" s="25"/>
      <c r="K4" s="26"/>
      <c r="L4" s="27"/>
      <c r="M4" s="1"/>
      <c r="N4" s="22"/>
      <c r="O4" s="28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5"/>
      <c r="CA4" s="16" t="s">
        <v>15</v>
      </c>
      <c r="CB4" s="17" t="str">
        <f>TRIM(CustomerCode)</f>
        <v>LEAR</v>
      </c>
      <c r="CC4" s="18" t="str">
        <f t="shared" si="0"/>
        <v>LEAR</v>
      </c>
      <c r="CD4" s="18">
        <v>16764057</v>
      </c>
      <c r="CE4" s="18">
        <f t="shared" si="1"/>
        <v>16764057</v>
      </c>
      <c r="CF4" s="18">
        <f t="shared" si="2"/>
        <v>1</v>
      </c>
      <c r="CG4" s="18">
        <f t="shared" si="3"/>
        <v>0</v>
      </c>
      <c r="CH4" s="18">
        <f t="shared" si="4"/>
        <v>0</v>
      </c>
      <c r="CI4" s="18" t="str">
        <f t="shared" si="5"/>
        <v/>
      </c>
      <c r="CJ4" s="23"/>
      <c r="CZ4" s="18">
        <v>16764057</v>
      </c>
      <c r="DA4" s="19" t="s">
        <v>16</v>
      </c>
    </row>
    <row r="5" spans="1:105" s="15" customFormat="1" ht="20.100000000000001" customHeight="1" x14ac:dyDescent="0.25">
      <c r="B5" s="29"/>
      <c r="C5" s="118" t="s">
        <v>17</v>
      </c>
      <c r="D5" s="118"/>
      <c r="E5" s="30"/>
      <c r="F5" s="119" t="s">
        <v>18</v>
      </c>
      <c r="G5" s="120"/>
      <c r="H5" s="30"/>
      <c r="I5" s="121" t="s">
        <v>19</v>
      </c>
      <c r="J5" s="121"/>
      <c r="K5" s="31"/>
      <c r="L5" s="32"/>
      <c r="M5" s="1"/>
      <c r="N5" s="33" t="s">
        <v>20</v>
      </c>
      <c r="O5" s="115" t="s">
        <v>21</v>
      </c>
      <c r="P5" s="115"/>
      <c r="Q5" s="115"/>
      <c r="R5" s="115"/>
      <c r="S5" s="1"/>
      <c r="T5" s="1"/>
      <c r="U5" s="1"/>
      <c r="V5" s="1"/>
      <c r="W5" s="1"/>
      <c r="X5" s="1"/>
      <c r="Y5" s="1"/>
      <c r="Z5" s="1"/>
      <c r="AC5" s="1"/>
      <c r="AD5" s="1"/>
      <c r="AE5" s="1"/>
      <c r="AF5" s="1"/>
      <c r="AG5" s="1"/>
      <c r="AH5" s="5"/>
      <c r="CA5" s="16" t="s">
        <v>22</v>
      </c>
      <c r="CB5" s="17" t="str">
        <f>TRIM(DrawingSize)</f>
        <v>A2</v>
      </c>
      <c r="CC5" s="18" t="str">
        <f t="shared" si="0"/>
        <v>A2</v>
      </c>
      <c r="CD5" s="18">
        <v>16764057</v>
      </c>
      <c r="CE5" s="18">
        <f t="shared" si="1"/>
        <v>16764057</v>
      </c>
      <c r="CF5" s="18">
        <f t="shared" si="2"/>
        <v>1</v>
      </c>
      <c r="CG5" s="18">
        <f t="shared" si="3"/>
        <v>0</v>
      </c>
      <c r="CH5" s="18">
        <f t="shared" si="4"/>
        <v>0</v>
      </c>
      <c r="CI5" s="18" t="str">
        <f t="shared" si="5"/>
        <v/>
      </c>
      <c r="CJ5" s="23"/>
      <c r="CZ5" s="18">
        <v>16764057</v>
      </c>
      <c r="DA5" s="19" t="s">
        <v>23</v>
      </c>
    </row>
    <row r="6" spans="1:105" s="15" customFormat="1" ht="20.100000000000001" customHeight="1" x14ac:dyDescent="0.25">
      <c r="A6" s="5"/>
      <c r="B6" s="34"/>
      <c r="C6" s="35" t="s">
        <v>9</v>
      </c>
      <c r="D6" s="36">
        <v>1234569</v>
      </c>
      <c r="E6" s="31"/>
      <c r="F6" s="35" t="s">
        <v>24</v>
      </c>
      <c r="G6" s="37"/>
      <c r="H6" s="31"/>
      <c r="I6" s="38" t="s">
        <v>25</v>
      </c>
      <c r="J6" s="38" t="s">
        <v>26</v>
      </c>
      <c r="K6" s="31"/>
      <c r="L6" s="32"/>
      <c r="M6" s="1"/>
      <c r="N6" s="37" t="s">
        <v>27</v>
      </c>
      <c r="O6" s="115" t="s">
        <v>28</v>
      </c>
      <c r="P6" s="115"/>
      <c r="Q6" s="115"/>
      <c r="R6" s="115"/>
      <c r="S6" s="1"/>
      <c r="T6" s="1"/>
      <c r="U6" s="1"/>
      <c r="V6" s="1"/>
      <c r="W6" s="1"/>
      <c r="X6" s="1"/>
      <c r="Y6" s="1"/>
      <c r="Z6" s="1"/>
      <c r="AC6" s="1"/>
      <c r="AD6" s="1"/>
      <c r="AE6" s="1"/>
      <c r="AF6" s="1"/>
      <c r="AG6" s="1"/>
      <c r="AH6" s="5"/>
      <c r="CA6" s="16" t="s">
        <v>29</v>
      </c>
      <c r="CB6" s="17" t="str">
        <f>TRIM(DrawingNotes)</f>
        <v>Infotainment cable notes</v>
      </c>
      <c r="CC6" s="18" t="str">
        <f t="shared" si="0"/>
        <v>Infotainment cable notes</v>
      </c>
      <c r="CD6" s="18">
        <v>16764057</v>
      </c>
      <c r="CE6" s="18">
        <f t="shared" si="1"/>
        <v>16764057</v>
      </c>
      <c r="CF6" s="18">
        <f t="shared" si="2"/>
        <v>1</v>
      </c>
      <c r="CG6" s="18">
        <f t="shared" si="3"/>
        <v>0</v>
      </c>
      <c r="CH6" s="18">
        <f t="shared" si="4"/>
        <v>0</v>
      </c>
      <c r="CI6" s="18" t="str">
        <f t="shared" si="5"/>
        <v/>
      </c>
      <c r="CJ6" s="23"/>
      <c r="CZ6" s="18">
        <v>16764057</v>
      </c>
      <c r="DA6" s="19" t="s">
        <v>30</v>
      </c>
    </row>
    <row r="7" spans="1:105" s="15" customFormat="1" ht="20.100000000000001" customHeight="1" x14ac:dyDescent="0.25">
      <c r="A7" s="1"/>
      <c r="B7" s="34"/>
      <c r="C7" s="35" t="s">
        <v>13</v>
      </c>
      <c r="D7" s="36">
        <v>1234569</v>
      </c>
      <c r="E7" s="31"/>
      <c r="F7" s="35" t="s">
        <v>31</v>
      </c>
      <c r="G7" s="39"/>
      <c r="H7" s="31"/>
      <c r="I7" s="39"/>
      <c r="J7" s="39"/>
      <c r="K7" s="31"/>
      <c r="L7" s="32"/>
      <c r="M7" s="1"/>
      <c r="N7" s="36">
        <v>300</v>
      </c>
      <c r="O7" s="115" t="s">
        <v>32</v>
      </c>
      <c r="P7" s="115"/>
      <c r="Q7" s="115"/>
      <c r="R7" s="115"/>
      <c r="S7" s="1"/>
      <c r="T7" s="1"/>
      <c r="U7" s="1"/>
      <c r="V7" s="1"/>
      <c r="W7" s="1"/>
      <c r="X7" s="1"/>
      <c r="Y7" s="1"/>
      <c r="Z7" s="1"/>
      <c r="AC7" s="1"/>
      <c r="AD7" s="1"/>
      <c r="AE7" s="1"/>
      <c r="AF7" s="1"/>
      <c r="AG7" s="1"/>
      <c r="AH7" s="5"/>
      <c r="CA7" s="16" t="s">
        <v>33</v>
      </c>
      <c r="CB7" s="17" t="str">
        <f>TRIM(PackingNote)</f>
        <v>Included</v>
      </c>
      <c r="CC7" s="18" t="str">
        <f t="shared" si="0"/>
        <v>Included</v>
      </c>
      <c r="CD7" s="18">
        <v>16764057</v>
      </c>
      <c r="CE7" s="18">
        <f t="shared" si="1"/>
        <v>16764057</v>
      </c>
      <c r="CF7" s="18">
        <f t="shared" si="2"/>
        <v>1</v>
      </c>
      <c r="CG7" s="18">
        <f t="shared" si="3"/>
        <v>0</v>
      </c>
      <c r="CH7" s="18">
        <f t="shared" si="4"/>
        <v>0</v>
      </c>
      <c r="CI7" s="18" t="str">
        <f t="shared" si="5"/>
        <v/>
      </c>
      <c r="CJ7" s="23"/>
      <c r="CZ7" s="18">
        <v>16764057</v>
      </c>
      <c r="DA7" s="19" t="s">
        <v>34</v>
      </c>
    </row>
    <row r="8" spans="1:105" s="15" customFormat="1" ht="21" customHeight="1" x14ac:dyDescent="0.25">
      <c r="A8" s="1"/>
      <c r="B8" s="34"/>
      <c r="C8" s="40" t="s">
        <v>15</v>
      </c>
      <c r="D8" s="37" t="s">
        <v>35</v>
      </c>
      <c r="E8" s="31"/>
      <c r="F8" s="35" t="s">
        <v>36</v>
      </c>
      <c r="G8" s="39"/>
      <c r="H8" s="31"/>
      <c r="I8" s="39"/>
      <c r="J8" s="39"/>
      <c r="K8" s="31"/>
      <c r="L8" s="32"/>
      <c r="M8" s="1"/>
      <c r="N8" s="39" t="s">
        <v>37</v>
      </c>
      <c r="O8" s="115" t="s">
        <v>38</v>
      </c>
      <c r="P8" s="115"/>
      <c r="Q8" s="115"/>
      <c r="R8" s="115"/>
      <c r="S8" s="1"/>
      <c r="T8" s="1"/>
      <c r="U8" s="1"/>
      <c r="V8" s="1"/>
      <c r="W8" s="1"/>
      <c r="X8" s="1"/>
      <c r="Y8" s="1"/>
      <c r="Z8" s="1"/>
      <c r="AC8" s="1"/>
      <c r="AD8" s="1"/>
      <c r="AE8" s="1"/>
      <c r="AF8" s="1"/>
      <c r="AG8" s="1"/>
      <c r="AH8" s="5"/>
      <c r="CA8" s="16" t="s">
        <v>39</v>
      </c>
      <c r="CB8" s="17" t="str">
        <f>TRIM(CoilDiameter)</f>
        <v>200</v>
      </c>
      <c r="CC8" s="18" t="str">
        <f t="shared" si="0"/>
        <v>200</v>
      </c>
      <c r="CD8" s="18">
        <v>13434828</v>
      </c>
      <c r="CE8" s="18">
        <f t="shared" si="1"/>
        <v>13434828</v>
      </c>
      <c r="CF8" s="18">
        <f t="shared" si="2"/>
        <v>1</v>
      </c>
      <c r="CG8" s="18">
        <f t="shared" si="3"/>
        <v>0</v>
      </c>
      <c r="CH8" s="18">
        <f t="shared" si="4"/>
        <v>0</v>
      </c>
      <c r="CI8" s="18" t="str">
        <f t="shared" si="5"/>
        <v/>
      </c>
      <c r="CJ8" s="23"/>
      <c r="CZ8" s="18">
        <v>13434828</v>
      </c>
      <c r="DA8" s="19" t="s">
        <v>40</v>
      </c>
    </row>
    <row r="9" spans="1:105" s="15" customFormat="1" ht="20.100000000000001" customHeight="1" x14ac:dyDescent="0.25">
      <c r="A9" s="1"/>
      <c r="B9" s="34"/>
      <c r="C9" s="41"/>
      <c r="D9" s="42"/>
      <c r="E9" s="31"/>
      <c r="F9" s="43"/>
      <c r="G9" s="44"/>
      <c r="H9" s="31"/>
      <c r="I9" s="39" t="s">
        <v>41</v>
      </c>
      <c r="J9" s="39"/>
      <c r="K9" s="31"/>
      <c r="L9" s="32"/>
      <c r="M9" s="1"/>
      <c r="N9" s="45"/>
      <c r="O9" s="115" t="s">
        <v>42</v>
      </c>
      <c r="P9" s="115"/>
      <c r="Q9" s="115"/>
      <c r="R9" s="115"/>
      <c r="S9" s="1"/>
      <c r="T9" s="1"/>
      <c r="U9" s="1"/>
      <c r="V9" s="1"/>
      <c r="W9" s="1"/>
      <c r="X9" s="1"/>
      <c r="Y9" s="1"/>
      <c r="Z9" s="1"/>
      <c r="AC9" s="1"/>
      <c r="AD9" s="1"/>
      <c r="AE9" s="1"/>
      <c r="AF9" s="1"/>
      <c r="AG9" s="1"/>
      <c r="AH9" s="5"/>
      <c r="CA9" s="16" t="s">
        <v>43</v>
      </c>
      <c r="CB9" s="17" t="str">
        <f>TRIM(CustomerDrawingOption)</f>
        <v>Fully Populated</v>
      </c>
      <c r="CC9" s="18" t="str">
        <f t="shared" si="0"/>
        <v>Fully Populated</v>
      </c>
      <c r="CD9" s="18">
        <v>16764057</v>
      </c>
      <c r="CE9" s="18">
        <f t="shared" si="1"/>
        <v>16764057</v>
      </c>
      <c r="CF9" s="18">
        <f t="shared" si="2"/>
        <v>1</v>
      </c>
      <c r="CG9" s="18">
        <f t="shared" si="3"/>
        <v>0</v>
      </c>
      <c r="CH9" s="18">
        <f t="shared" si="4"/>
        <v>0</v>
      </c>
      <c r="CI9" s="18" t="str">
        <f t="shared" si="5"/>
        <v/>
      </c>
      <c r="CJ9" s="23"/>
      <c r="CZ9" s="18">
        <v>16764057</v>
      </c>
      <c r="DA9" s="19" t="s">
        <v>44</v>
      </c>
    </row>
    <row r="10" spans="1:105" s="15" customFormat="1" ht="20.100000000000001" customHeight="1" x14ac:dyDescent="0.25">
      <c r="A10" s="1"/>
      <c r="B10" s="34"/>
      <c r="C10" s="122" t="s">
        <v>45</v>
      </c>
      <c r="D10" s="123"/>
      <c r="E10" s="31"/>
      <c r="F10" s="119" t="s">
        <v>46</v>
      </c>
      <c r="G10" s="120"/>
      <c r="H10" s="31"/>
      <c r="I10" s="39"/>
      <c r="J10" s="39"/>
      <c r="K10" s="31"/>
      <c r="L10" s="3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5"/>
      <c r="CA10" s="16" t="s">
        <v>47</v>
      </c>
      <c r="CB10" s="17" t="str">
        <f>TRIM(Drawing_Title)</f>
        <v>1234569</v>
      </c>
      <c r="CC10" s="18" t="str">
        <f t="shared" si="0"/>
        <v>1234569</v>
      </c>
      <c r="CD10" s="18">
        <v>13434828</v>
      </c>
      <c r="CE10" s="18">
        <f t="shared" si="1"/>
        <v>13434828</v>
      </c>
      <c r="CF10" s="18">
        <f t="shared" si="2"/>
        <v>1</v>
      </c>
      <c r="CG10" s="18">
        <f t="shared" si="3"/>
        <v>0</v>
      </c>
      <c r="CH10" s="18">
        <f t="shared" si="4"/>
        <v>0</v>
      </c>
      <c r="CI10" s="18" t="str">
        <f t="shared" si="5"/>
        <v/>
      </c>
      <c r="CJ10" s="23"/>
      <c r="CZ10" s="18">
        <v>13434828</v>
      </c>
      <c r="DA10" s="19" t="s">
        <v>48</v>
      </c>
    </row>
    <row r="11" spans="1:105" s="15" customFormat="1" ht="20.100000000000001" customHeight="1" x14ac:dyDescent="0.25">
      <c r="A11" s="1"/>
      <c r="B11" s="34"/>
      <c r="C11" s="35" t="s">
        <v>22</v>
      </c>
      <c r="D11" s="37" t="s">
        <v>49</v>
      </c>
      <c r="E11" s="31"/>
      <c r="F11" s="46" t="s">
        <v>50</v>
      </c>
      <c r="G11" s="39"/>
      <c r="H11" s="31"/>
      <c r="I11" s="47"/>
      <c r="J11" s="47"/>
      <c r="K11" s="31"/>
      <c r="L11" s="32"/>
      <c r="M11" s="1"/>
      <c r="N11" s="124" t="s">
        <v>51</v>
      </c>
      <c r="O11" s="124"/>
      <c r="P11" s="124"/>
      <c r="Q11" s="124"/>
      <c r="R11" s="124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5"/>
      <c r="CA11" s="16" t="s">
        <v>52</v>
      </c>
      <c r="CB11" s="18" t="str">
        <f>TRIM(Drawn_By)</f>
        <v>H. Ajjan</v>
      </c>
      <c r="CC11" s="18" t="str">
        <f t="shared" si="0"/>
        <v>H. Ajjan</v>
      </c>
      <c r="CD11" s="18">
        <v>13434828</v>
      </c>
      <c r="CE11" s="18">
        <f t="shared" si="1"/>
        <v>13434828</v>
      </c>
      <c r="CF11" s="18">
        <f t="shared" si="2"/>
        <v>1</v>
      </c>
      <c r="CG11" s="18">
        <f t="shared" si="3"/>
        <v>0</v>
      </c>
      <c r="CH11" s="18">
        <f t="shared" si="4"/>
        <v>0</v>
      </c>
      <c r="CI11" s="18" t="str">
        <f t="shared" si="5"/>
        <v/>
      </c>
      <c r="CJ11" s="23"/>
      <c r="CZ11" s="18">
        <v>13434828</v>
      </c>
      <c r="DA11" s="19" t="s">
        <v>53</v>
      </c>
    </row>
    <row r="12" spans="1:105" s="15" customFormat="1" ht="20.100000000000001" customHeight="1" x14ac:dyDescent="0.25">
      <c r="A12" s="1"/>
      <c r="B12" s="34"/>
      <c r="C12" s="35" t="s">
        <v>29</v>
      </c>
      <c r="D12" s="37" t="s">
        <v>54</v>
      </c>
      <c r="E12" s="31"/>
      <c r="F12" s="46" t="s">
        <v>55</v>
      </c>
      <c r="G12" s="39"/>
      <c r="H12" s="31"/>
      <c r="I12" s="31"/>
      <c r="J12" s="31"/>
      <c r="K12" s="31"/>
      <c r="L12" s="32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5"/>
      <c r="CA12" s="16" t="s">
        <v>56</v>
      </c>
      <c r="CB12" s="18" t="str">
        <f>TRIM(Checked_by)</f>
        <v>Y. Eddahbi</v>
      </c>
      <c r="CC12" s="18" t="str">
        <f t="shared" si="0"/>
        <v>Y. Eddahbi</v>
      </c>
      <c r="CD12" s="18">
        <v>13434828</v>
      </c>
      <c r="CE12" s="18">
        <f t="shared" si="1"/>
        <v>13434828</v>
      </c>
      <c r="CF12" s="18">
        <f t="shared" si="2"/>
        <v>1</v>
      </c>
      <c r="CG12" s="18">
        <f t="shared" si="3"/>
        <v>0</v>
      </c>
      <c r="CH12" s="18">
        <f t="shared" si="4"/>
        <v>0</v>
      </c>
      <c r="CI12" s="18" t="str">
        <f t="shared" si="5"/>
        <v/>
      </c>
      <c r="CJ12" s="23"/>
      <c r="CZ12" s="18">
        <v>13434828</v>
      </c>
      <c r="DA12" s="19" t="s">
        <v>57</v>
      </c>
    </row>
    <row r="13" spans="1:105" s="15" customFormat="1" ht="20.100000000000001" customHeight="1" x14ac:dyDescent="0.25">
      <c r="A13" s="1"/>
      <c r="B13" s="34"/>
      <c r="C13" s="35" t="s">
        <v>33</v>
      </c>
      <c r="D13" s="37" t="s">
        <v>58</v>
      </c>
      <c r="E13" s="31"/>
      <c r="F13" s="48"/>
      <c r="G13" s="49"/>
      <c r="H13" s="31"/>
      <c r="I13" s="47"/>
      <c r="J13" s="47"/>
      <c r="K13" s="31"/>
      <c r="L13" s="3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5"/>
      <c r="CA13" s="16" t="s">
        <v>59</v>
      </c>
      <c r="CB13" s="18" t="str">
        <f>TRIM(Approved_By)</f>
        <v>S. Chehboun</v>
      </c>
      <c r="CC13" s="18" t="str">
        <f t="shared" si="0"/>
        <v>S. Chehboun</v>
      </c>
      <c r="CD13" s="18">
        <v>13434828</v>
      </c>
      <c r="CE13" s="18">
        <f t="shared" si="1"/>
        <v>13434828</v>
      </c>
      <c r="CF13" s="18">
        <f t="shared" si="2"/>
        <v>1</v>
      </c>
      <c r="CG13" s="18">
        <f t="shared" si="3"/>
        <v>0</v>
      </c>
      <c r="CH13" s="18">
        <f t="shared" si="4"/>
        <v>0</v>
      </c>
      <c r="CI13" s="18" t="str">
        <f t="shared" si="5"/>
        <v/>
      </c>
      <c r="CJ13" s="23"/>
      <c r="CZ13" s="18">
        <v>13434828</v>
      </c>
      <c r="DA13" s="19" t="s">
        <v>60</v>
      </c>
    </row>
    <row r="14" spans="1:105" s="15" customFormat="1" ht="20.100000000000001" customHeight="1" x14ac:dyDescent="0.25">
      <c r="A14" s="1"/>
      <c r="B14" s="34"/>
      <c r="C14" s="35" t="s">
        <v>61</v>
      </c>
      <c r="D14" s="39">
        <v>200</v>
      </c>
      <c r="E14" s="31"/>
      <c r="F14" s="48"/>
      <c r="G14" s="49"/>
      <c r="H14" s="31"/>
      <c r="I14" s="47"/>
      <c r="J14" s="47"/>
      <c r="K14" s="31"/>
      <c r="L14" s="3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5"/>
      <c r="CA14" s="16" t="s">
        <v>62</v>
      </c>
      <c r="CB14" s="18" t="str">
        <f>TRIM(Drawn_Date)</f>
        <v>44419</v>
      </c>
      <c r="CC14" s="18" t="str">
        <f t="shared" si="0"/>
        <v>44419</v>
      </c>
      <c r="CD14" s="18">
        <v>13434828</v>
      </c>
      <c r="CE14" s="18">
        <f t="shared" si="1"/>
        <v>13434828</v>
      </c>
      <c r="CF14" s="18">
        <f t="shared" si="2"/>
        <v>1</v>
      </c>
      <c r="CG14" s="18">
        <f t="shared" si="3"/>
        <v>0</v>
      </c>
      <c r="CH14" s="18">
        <f t="shared" si="4"/>
        <v>0</v>
      </c>
      <c r="CI14" s="18" t="str">
        <f t="shared" si="5"/>
        <v/>
      </c>
      <c r="CJ14" s="23"/>
      <c r="CZ14" s="18">
        <v>13434828</v>
      </c>
      <c r="DA14" s="19" t="s">
        <v>63</v>
      </c>
    </row>
    <row r="15" spans="1:105" s="15" customFormat="1" ht="20.100000000000001" customHeight="1" x14ac:dyDescent="0.25">
      <c r="A15" s="1"/>
      <c r="B15" s="34"/>
      <c r="C15" s="35" t="s">
        <v>43</v>
      </c>
      <c r="D15" s="37" t="s">
        <v>64</v>
      </c>
      <c r="E15" s="31"/>
      <c r="F15" s="48"/>
      <c r="G15" s="49"/>
      <c r="H15" s="31"/>
      <c r="I15" s="47"/>
      <c r="J15" s="47"/>
      <c r="K15" s="31"/>
      <c r="L15" s="3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5"/>
      <c r="CA15" s="16" t="s">
        <v>65</v>
      </c>
      <c r="CB15" s="18" t="str">
        <f>TRIM(Checked_Date)</f>
        <v>44419</v>
      </c>
      <c r="CC15" s="18" t="str">
        <f t="shared" si="0"/>
        <v>44419</v>
      </c>
      <c r="CD15" s="18">
        <v>13434828</v>
      </c>
      <c r="CE15" s="18">
        <f t="shared" si="1"/>
        <v>13434828</v>
      </c>
      <c r="CF15" s="18">
        <f t="shared" si="2"/>
        <v>1</v>
      </c>
      <c r="CG15" s="18">
        <f t="shared" si="3"/>
        <v>0</v>
      </c>
      <c r="CH15" s="18">
        <f t="shared" si="4"/>
        <v>0</v>
      </c>
      <c r="CI15" s="18" t="str">
        <f t="shared" si="5"/>
        <v/>
      </c>
      <c r="CJ15" s="23"/>
      <c r="CZ15" s="18">
        <v>13434828</v>
      </c>
      <c r="DA15" s="19" t="s">
        <v>66</v>
      </c>
    </row>
    <row r="16" spans="1:105" s="15" customFormat="1" ht="20.100000000000001" customHeight="1" x14ac:dyDescent="0.25">
      <c r="A16" s="1"/>
      <c r="B16" s="34"/>
      <c r="C16" s="48"/>
      <c r="D16" s="50"/>
      <c r="E16" s="31"/>
      <c r="F16" s="48"/>
      <c r="G16" s="50"/>
      <c r="H16" s="31"/>
      <c r="I16" s="47"/>
      <c r="J16" s="47"/>
      <c r="K16" s="31"/>
      <c r="L16" s="32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5"/>
      <c r="CA16" s="16" t="s">
        <v>67</v>
      </c>
      <c r="CB16" s="18" t="str">
        <f>TRIM(Approved_Date)</f>
        <v>44419</v>
      </c>
      <c r="CC16" s="18" t="str">
        <f t="shared" si="0"/>
        <v>44419</v>
      </c>
      <c r="CD16" s="18">
        <v>13434828</v>
      </c>
      <c r="CE16" s="18">
        <f t="shared" si="1"/>
        <v>13434828</v>
      </c>
      <c r="CF16" s="18">
        <f t="shared" si="2"/>
        <v>1</v>
      </c>
      <c r="CG16" s="18">
        <f t="shared" si="3"/>
        <v>0</v>
      </c>
      <c r="CH16" s="18">
        <f t="shared" si="4"/>
        <v>0</v>
      </c>
      <c r="CI16" s="18" t="str">
        <f t="shared" si="5"/>
        <v/>
      </c>
      <c r="CJ16" s="23"/>
      <c r="CZ16" s="18">
        <v>13434828</v>
      </c>
      <c r="DA16" s="19" t="s">
        <v>68</v>
      </c>
    </row>
    <row r="17" spans="1:105" s="15" customFormat="1" ht="20.100000000000001" customHeight="1" x14ac:dyDescent="0.25">
      <c r="A17" s="1"/>
      <c r="B17" s="34"/>
      <c r="C17" s="122" t="s">
        <v>69</v>
      </c>
      <c r="D17" s="123"/>
      <c r="E17" s="31"/>
      <c r="F17" s="48"/>
      <c r="G17" s="50"/>
      <c r="H17" s="31"/>
      <c r="I17" s="47"/>
      <c r="J17" s="47"/>
      <c r="K17" s="31"/>
      <c r="L17" s="3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5"/>
      <c r="CA17" s="16" t="s">
        <v>70</v>
      </c>
      <c r="CB17" s="18" t="str">
        <f>TRIM(CableHarnessType)</f>
        <v>Single to Single</v>
      </c>
      <c r="CC17" s="18" t="str">
        <f t="shared" si="0"/>
        <v>Single to Single</v>
      </c>
      <c r="CD17" s="18">
        <v>16764057</v>
      </c>
      <c r="CE17" s="18">
        <f t="shared" si="1"/>
        <v>16764057</v>
      </c>
      <c r="CF17" s="18">
        <f t="shared" si="2"/>
        <v>1</v>
      </c>
      <c r="CG17" s="18">
        <f t="shared" si="3"/>
        <v>0</v>
      </c>
      <c r="CH17" s="18">
        <f t="shared" si="4"/>
        <v>0</v>
      </c>
      <c r="CI17" s="18" t="str">
        <f t="shared" si="5"/>
        <v/>
      </c>
      <c r="CJ17" s="23"/>
      <c r="CZ17" s="18">
        <v>16764057</v>
      </c>
      <c r="DA17" s="19" t="s">
        <v>71</v>
      </c>
    </row>
    <row r="18" spans="1:105" s="15" customFormat="1" ht="20.100000000000001" customHeight="1" x14ac:dyDescent="0.25">
      <c r="A18" s="1"/>
      <c r="B18" s="34"/>
      <c r="C18" s="35" t="s">
        <v>47</v>
      </c>
      <c r="D18" s="51">
        <v>1234569</v>
      </c>
      <c r="E18" s="31"/>
      <c r="F18" s="48"/>
      <c r="G18" s="50"/>
      <c r="H18" s="31"/>
      <c r="I18" s="47"/>
      <c r="J18" s="47"/>
      <c r="K18" s="31"/>
      <c r="L18" s="3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5"/>
      <c r="CA18" s="16" t="s">
        <v>72</v>
      </c>
      <c r="CB18" s="18" t="str">
        <f>TRIM(CableHarnessSide)</f>
        <v/>
      </c>
      <c r="CC18" s="18" t="str">
        <f t="shared" si="0"/>
        <v/>
      </c>
      <c r="CD18" s="18">
        <v>8421504</v>
      </c>
      <c r="CE18" s="18">
        <f t="shared" si="1"/>
        <v>16764057</v>
      </c>
      <c r="CF18" s="18">
        <f t="shared" si="2"/>
        <v>0</v>
      </c>
      <c r="CG18" s="18">
        <f t="shared" si="3"/>
        <v>1</v>
      </c>
      <c r="CH18" s="18">
        <f t="shared" si="4"/>
        <v>0</v>
      </c>
      <c r="CI18" s="18" t="str">
        <f t="shared" si="5"/>
        <v/>
      </c>
      <c r="CJ18" s="23"/>
      <c r="CZ18" s="18">
        <v>16764057</v>
      </c>
      <c r="DA18" s="19" t="s">
        <v>73</v>
      </c>
    </row>
    <row r="19" spans="1:105" s="60" customFormat="1" x14ac:dyDescent="0.25">
      <c r="A19" s="52"/>
      <c r="B19" s="53"/>
      <c r="C19" s="35" t="s">
        <v>52</v>
      </c>
      <c r="D19" s="51" t="s">
        <v>74</v>
      </c>
      <c r="E19" s="54"/>
      <c r="F19" s="55"/>
      <c r="G19" s="56"/>
      <c r="H19" s="54"/>
      <c r="I19" s="57"/>
      <c r="J19" s="57"/>
      <c r="K19" s="54"/>
      <c r="L19" s="58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9"/>
      <c r="CA19" s="16" t="s">
        <v>75</v>
      </c>
      <c r="CB19" s="61" t="str">
        <f>TRIM(NumberOfPosition)</f>
        <v/>
      </c>
      <c r="CC19" s="18" t="str">
        <f t="shared" si="0"/>
        <v/>
      </c>
      <c r="CD19" s="18">
        <v>8421504</v>
      </c>
      <c r="CE19" s="18">
        <f t="shared" si="1"/>
        <v>16764057</v>
      </c>
      <c r="CF19" s="18">
        <f t="shared" si="2"/>
        <v>0</v>
      </c>
      <c r="CG19" s="18">
        <f t="shared" si="3"/>
        <v>1</v>
      </c>
      <c r="CH19" s="18">
        <f t="shared" si="4"/>
        <v>0</v>
      </c>
      <c r="CI19" s="18" t="str">
        <f t="shared" si="5"/>
        <v/>
      </c>
      <c r="CJ19" s="23"/>
      <c r="CZ19" s="18">
        <v>16764057</v>
      </c>
      <c r="DA19" s="19" t="s">
        <v>76</v>
      </c>
    </row>
    <row r="20" spans="1:105" s="15" customFormat="1" ht="20.100000000000001" customHeight="1" x14ac:dyDescent="0.25">
      <c r="A20" s="1"/>
      <c r="B20" s="34"/>
      <c r="C20" s="35" t="s">
        <v>56</v>
      </c>
      <c r="D20" s="51" t="s">
        <v>77</v>
      </c>
      <c r="E20" s="31"/>
      <c r="F20" s="48"/>
      <c r="G20" s="50"/>
      <c r="H20" s="31"/>
      <c r="I20" s="47"/>
      <c r="J20" s="47"/>
      <c r="K20" s="31"/>
      <c r="L20" s="32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5"/>
      <c r="CA20" s="16" t="s">
        <v>78</v>
      </c>
      <c r="CB20" s="18" t="str">
        <f>TRIM(HarnessLengthD1)</f>
        <v>600</v>
      </c>
      <c r="CC20" s="18" t="str">
        <f t="shared" si="0"/>
        <v>600</v>
      </c>
      <c r="CD20" s="18">
        <v>13434828</v>
      </c>
      <c r="CE20" s="18">
        <f t="shared" si="1"/>
        <v>13434828</v>
      </c>
      <c r="CF20" s="18">
        <f t="shared" si="2"/>
        <v>1</v>
      </c>
      <c r="CG20" s="18">
        <f t="shared" si="3"/>
        <v>0</v>
      </c>
      <c r="CH20" s="18">
        <f t="shared" si="4"/>
        <v>0</v>
      </c>
      <c r="CI20" s="18" t="str">
        <f t="shared" si="5"/>
        <v/>
      </c>
      <c r="CJ20" s="23"/>
      <c r="CZ20" s="18">
        <v>13434828</v>
      </c>
      <c r="DA20" s="19" t="s">
        <v>79</v>
      </c>
    </row>
    <row r="21" spans="1:105" s="15" customFormat="1" ht="20.100000000000001" customHeight="1" x14ac:dyDescent="0.25">
      <c r="A21" s="1"/>
      <c r="B21" s="34"/>
      <c r="C21" s="35" t="s">
        <v>59</v>
      </c>
      <c r="D21" s="62" t="s">
        <v>80</v>
      </c>
      <c r="E21" s="31"/>
      <c r="F21" s="48"/>
      <c r="G21" s="50"/>
      <c r="H21" s="31"/>
      <c r="I21" s="47"/>
      <c r="J21" s="47"/>
      <c r="K21" s="31"/>
      <c r="L21" s="3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5"/>
      <c r="CA21" s="16" t="s">
        <v>81</v>
      </c>
      <c r="CB21" s="18" t="str">
        <f>TRIM(HarnessLengthD2)</f>
        <v/>
      </c>
      <c r="CC21" s="18" t="str">
        <f t="shared" si="0"/>
        <v/>
      </c>
      <c r="CD21" s="18">
        <v>8421504</v>
      </c>
      <c r="CE21" s="18">
        <f t="shared" si="1"/>
        <v>13434828</v>
      </c>
      <c r="CF21" s="18">
        <f t="shared" si="2"/>
        <v>0</v>
      </c>
      <c r="CG21" s="18">
        <f t="shared" si="3"/>
        <v>1</v>
      </c>
      <c r="CH21" s="18">
        <f t="shared" si="4"/>
        <v>0</v>
      </c>
      <c r="CI21" s="18" t="str">
        <f t="shared" si="5"/>
        <v/>
      </c>
      <c r="CJ21" s="23"/>
      <c r="CZ21" s="18">
        <v>13434828</v>
      </c>
      <c r="DA21" s="19" t="s">
        <v>82</v>
      </c>
    </row>
    <row r="22" spans="1:105" s="15" customFormat="1" ht="20.100000000000001" customHeight="1" x14ac:dyDescent="0.25">
      <c r="A22" s="1"/>
      <c r="B22" s="34"/>
      <c r="C22" s="35" t="s">
        <v>83</v>
      </c>
      <c r="D22" s="63">
        <v>44419</v>
      </c>
      <c r="E22" s="31"/>
      <c r="F22" s="48"/>
      <c r="G22" s="50"/>
      <c r="H22" s="31"/>
      <c r="I22" s="47"/>
      <c r="J22" s="47"/>
      <c r="K22" s="31"/>
      <c r="L22" s="3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5"/>
      <c r="CA22" s="16" t="s">
        <v>84</v>
      </c>
      <c r="CB22" s="18" t="str">
        <f>TRIM(HarnessLengthD3)</f>
        <v/>
      </c>
      <c r="CC22" s="18" t="str">
        <f t="shared" si="0"/>
        <v/>
      </c>
      <c r="CD22" s="18">
        <v>8421504</v>
      </c>
      <c r="CE22" s="18">
        <f t="shared" si="1"/>
        <v>13434828</v>
      </c>
      <c r="CF22" s="18">
        <f t="shared" si="2"/>
        <v>0</v>
      </c>
      <c r="CG22" s="18">
        <f t="shared" si="3"/>
        <v>1</v>
      </c>
      <c r="CH22" s="18">
        <f t="shared" si="4"/>
        <v>0</v>
      </c>
      <c r="CI22" s="18" t="str">
        <f t="shared" si="5"/>
        <v/>
      </c>
      <c r="CJ22" s="23"/>
      <c r="CZ22" s="18">
        <v>13434828</v>
      </c>
      <c r="DA22" s="19" t="s">
        <v>85</v>
      </c>
    </row>
    <row r="23" spans="1:105" s="15" customFormat="1" ht="20.100000000000001" customHeight="1" x14ac:dyDescent="0.25">
      <c r="A23" s="1"/>
      <c r="B23" s="34"/>
      <c r="C23" s="35" t="s">
        <v>86</v>
      </c>
      <c r="D23" s="63">
        <v>44419</v>
      </c>
      <c r="E23" s="31"/>
      <c r="F23" s="47"/>
      <c r="G23" s="47"/>
      <c r="H23" s="47"/>
      <c r="I23" s="47"/>
      <c r="J23" s="47"/>
      <c r="K23" s="31"/>
      <c r="L23" s="3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5"/>
      <c r="CA23" s="16" t="s">
        <v>87</v>
      </c>
      <c r="CB23" s="18" t="str">
        <f>TRIM(HarnessLengthD4)</f>
        <v/>
      </c>
      <c r="CC23" s="18" t="str">
        <f t="shared" si="0"/>
        <v/>
      </c>
      <c r="CD23" s="18">
        <v>8421504</v>
      </c>
      <c r="CE23" s="18">
        <f t="shared" si="1"/>
        <v>13434828</v>
      </c>
      <c r="CF23" s="18">
        <f t="shared" si="2"/>
        <v>0</v>
      </c>
      <c r="CG23" s="18">
        <f t="shared" si="3"/>
        <v>1</v>
      </c>
      <c r="CH23" s="18">
        <f t="shared" si="4"/>
        <v>0</v>
      </c>
      <c r="CI23" s="18" t="str">
        <f t="shared" si="5"/>
        <v/>
      </c>
      <c r="CJ23" s="23"/>
      <c r="CZ23" s="18">
        <v>13434828</v>
      </c>
      <c r="DA23" s="19" t="s">
        <v>88</v>
      </c>
    </row>
    <row r="24" spans="1:105" s="15" customFormat="1" ht="20.100000000000001" customHeight="1" x14ac:dyDescent="0.25">
      <c r="A24" s="1"/>
      <c r="B24" s="34"/>
      <c r="C24" s="35" t="s">
        <v>89</v>
      </c>
      <c r="D24" s="63">
        <v>44419</v>
      </c>
      <c r="E24" s="31"/>
      <c r="F24" s="47"/>
      <c r="G24" s="47"/>
      <c r="H24" s="47"/>
      <c r="I24" s="47"/>
      <c r="J24" s="47"/>
      <c r="K24" s="31"/>
      <c r="L24" s="32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5"/>
      <c r="CA24" s="16" t="s">
        <v>90</v>
      </c>
      <c r="CB24" s="18" t="str">
        <f>TRIM(WireTwistType)</f>
        <v/>
      </c>
      <c r="CC24" s="18" t="str">
        <f t="shared" si="0"/>
        <v/>
      </c>
      <c r="CD24" s="18">
        <v>8421504</v>
      </c>
      <c r="CE24" s="18">
        <f t="shared" si="1"/>
        <v>16764057</v>
      </c>
      <c r="CF24" s="18">
        <f t="shared" si="2"/>
        <v>0</v>
      </c>
      <c r="CG24" s="18">
        <f t="shared" si="3"/>
        <v>1</v>
      </c>
      <c r="CH24" s="18">
        <f t="shared" si="4"/>
        <v>0</v>
      </c>
      <c r="CI24" s="18" t="str">
        <f t="shared" si="5"/>
        <v/>
      </c>
      <c r="CJ24" s="23"/>
      <c r="CZ24" s="18">
        <v>16764057</v>
      </c>
      <c r="DA24" s="19" t="s">
        <v>91</v>
      </c>
    </row>
    <row r="25" spans="1:105" s="15" customFormat="1" ht="20.100000000000001" customHeight="1" x14ac:dyDescent="0.25">
      <c r="A25" s="1"/>
      <c r="B25" s="34"/>
      <c r="C25" s="48"/>
      <c r="D25" s="50"/>
      <c r="E25" s="31"/>
      <c r="F25" s="47"/>
      <c r="G25" s="47"/>
      <c r="H25" s="47"/>
      <c r="I25" s="47"/>
      <c r="J25" s="47"/>
      <c r="K25" s="31"/>
      <c r="L25" s="3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5"/>
      <c r="CA25" s="16" t="s">
        <v>92</v>
      </c>
      <c r="CB25" s="18" t="str">
        <f>TRIM(WireTwistPitch)</f>
        <v/>
      </c>
      <c r="CC25" s="18" t="str">
        <f t="shared" si="0"/>
        <v/>
      </c>
      <c r="CD25" s="18">
        <v>8421504</v>
      </c>
      <c r="CE25" s="18">
        <f t="shared" si="1"/>
        <v>13434828</v>
      </c>
      <c r="CF25" s="18">
        <f t="shared" si="2"/>
        <v>0</v>
      </c>
      <c r="CG25" s="18">
        <f t="shared" si="3"/>
        <v>1</v>
      </c>
      <c r="CH25" s="18">
        <f t="shared" si="4"/>
        <v>0</v>
      </c>
      <c r="CI25" s="18" t="str">
        <f t="shared" si="5"/>
        <v/>
      </c>
      <c r="CJ25" s="23"/>
      <c r="CZ25" s="18">
        <v>13434828</v>
      </c>
      <c r="DA25" s="19" t="s">
        <v>93</v>
      </c>
    </row>
    <row r="26" spans="1:105" s="15" customFormat="1" ht="20.100000000000001" customHeight="1" x14ac:dyDescent="0.25">
      <c r="A26" s="1"/>
      <c r="B26" s="34"/>
      <c r="C26" s="122" t="s">
        <v>11</v>
      </c>
      <c r="D26" s="123"/>
      <c r="E26" s="31"/>
      <c r="F26" s="48"/>
      <c r="G26" s="50"/>
      <c r="H26" s="31"/>
      <c r="I26" s="47"/>
      <c r="J26" s="47"/>
      <c r="K26" s="31"/>
      <c r="L26" s="3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5"/>
      <c r="CA26" s="16" t="s">
        <v>94</v>
      </c>
      <c r="CB26" s="18" t="str">
        <f>TRIM(WireTwistLength)</f>
        <v/>
      </c>
      <c r="CC26" s="18" t="str">
        <f t="shared" si="0"/>
        <v/>
      </c>
      <c r="CD26" s="18">
        <v>8421504</v>
      </c>
      <c r="CE26" s="18">
        <f t="shared" si="1"/>
        <v>13434828</v>
      </c>
      <c r="CF26" s="18">
        <f t="shared" si="2"/>
        <v>0</v>
      </c>
      <c r="CG26" s="18">
        <f t="shared" si="3"/>
        <v>1</v>
      </c>
      <c r="CH26" s="18">
        <f t="shared" si="4"/>
        <v>0</v>
      </c>
      <c r="CI26" s="18" t="str">
        <f t="shared" si="5"/>
        <v/>
      </c>
      <c r="CJ26" s="23"/>
      <c r="CZ26" s="18">
        <v>13434828</v>
      </c>
      <c r="DA26" s="19" t="s">
        <v>95</v>
      </c>
    </row>
    <row r="27" spans="1:105" s="15" customFormat="1" ht="20.100000000000001" customHeight="1" x14ac:dyDescent="0.25">
      <c r="A27" s="1"/>
      <c r="B27" s="34"/>
      <c r="C27" s="64" t="s">
        <v>70</v>
      </c>
      <c r="D27" s="37" t="s">
        <v>96</v>
      </c>
      <c r="E27" s="31"/>
      <c r="F27" s="48"/>
      <c r="G27" s="50"/>
      <c r="H27" s="31"/>
      <c r="I27" s="47"/>
      <c r="J27" s="47"/>
      <c r="K27" s="31"/>
      <c r="L27" s="3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5"/>
      <c r="CA27" s="16" t="s">
        <v>97</v>
      </c>
      <c r="CB27" s="18" t="str">
        <f>TRIM(WireDiamenterW1)</f>
        <v>3.3</v>
      </c>
      <c r="CC27" s="18" t="str">
        <f t="shared" si="0"/>
        <v>3.3</v>
      </c>
      <c r="CD27" s="18">
        <v>13434828</v>
      </c>
      <c r="CE27" s="18">
        <f t="shared" si="1"/>
        <v>13434828</v>
      </c>
      <c r="CF27" s="18">
        <f t="shared" si="2"/>
        <v>1</v>
      </c>
      <c r="CG27" s="18">
        <f t="shared" si="3"/>
        <v>0</v>
      </c>
      <c r="CH27" s="18">
        <f t="shared" si="4"/>
        <v>0</v>
      </c>
      <c r="CI27" s="18" t="str">
        <f t="shared" si="5"/>
        <v/>
      </c>
      <c r="CJ27" s="23"/>
      <c r="CZ27" s="18">
        <v>13434828</v>
      </c>
      <c r="DA27" s="19" t="s">
        <v>98</v>
      </c>
    </row>
    <row r="28" spans="1:105" s="15" customFormat="1" ht="30" x14ac:dyDescent="0.25">
      <c r="A28" s="1"/>
      <c r="B28" s="34"/>
      <c r="C28" s="65" t="s">
        <v>72</v>
      </c>
      <c r="D28" s="66"/>
      <c r="E28" s="31"/>
      <c r="F28" s="48"/>
      <c r="G28" s="50"/>
      <c r="H28" s="31"/>
      <c r="I28" s="47"/>
      <c r="J28" s="47"/>
      <c r="K28" s="31"/>
      <c r="L28" s="32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5"/>
      <c r="CA28" s="16" t="s">
        <v>99</v>
      </c>
      <c r="CB28" s="18" t="str">
        <f>TRIM(WireDiamenterW2)</f>
        <v/>
      </c>
      <c r="CC28" s="18" t="str">
        <f t="shared" si="0"/>
        <v/>
      </c>
      <c r="CD28" s="18">
        <v>8421504</v>
      </c>
      <c r="CE28" s="18">
        <f t="shared" si="1"/>
        <v>13434828</v>
      </c>
      <c r="CF28" s="18">
        <f t="shared" si="2"/>
        <v>0</v>
      </c>
      <c r="CG28" s="18">
        <f t="shared" si="3"/>
        <v>1</v>
      </c>
      <c r="CH28" s="18">
        <f t="shared" si="4"/>
        <v>0</v>
      </c>
      <c r="CI28" s="18" t="str">
        <f t="shared" si="5"/>
        <v/>
      </c>
      <c r="CJ28" s="23"/>
      <c r="CZ28" s="18">
        <v>13434828</v>
      </c>
      <c r="DA28" s="19" t="s">
        <v>100</v>
      </c>
    </row>
    <row r="29" spans="1:105" s="15" customFormat="1" ht="20.100000000000001" customHeight="1" x14ac:dyDescent="0.25">
      <c r="A29" s="1"/>
      <c r="B29" s="34"/>
      <c r="C29" s="35" t="s">
        <v>75</v>
      </c>
      <c r="D29" s="66"/>
      <c r="E29" s="31"/>
      <c r="F29" s="48"/>
      <c r="G29" s="50"/>
      <c r="H29" s="31"/>
      <c r="I29" s="47"/>
      <c r="J29" s="47"/>
      <c r="K29" s="31"/>
      <c r="L29" s="32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5"/>
      <c r="CA29" s="16" t="s">
        <v>101</v>
      </c>
      <c r="CB29" s="18" t="str">
        <f>TRIM(WireDiamenterW3)</f>
        <v/>
      </c>
      <c r="CC29" s="18" t="str">
        <f t="shared" si="0"/>
        <v/>
      </c>
      <c r="CD29" s="18">
        <v>8421504</v>
      </c>
      <c r="CE29" s="18">
        <f t="shared" si="1"/>
        <v>13434828</v>
      </c>
      <c r="CF29" s="18">
        <f t="shared" si="2"/>
        <v>0</v>
      </c>
      <c r="CG29" s="18">
        <f t="shared" si="3"/>
        <v>1</v>
      </c>
      <c r="CH29" s="18">
        <f t="shared" si="4"/>
        <v>0</v>
      </c>
      <c r="CI29" s="18" t="str">
        <f t="shared" si="5"/>
        <v/>
      </c>
      <c r="CJ29" s="23"/>
      <c r="CZ29" s="18">
        <v>13434828</v>
      </c>
      <c r="DA29" s="19" t="s">
        <v>102</v>
      </c>
    </row>
    <row r="30" spans="1:105" s="15" customFormat="1" ht="20.100000000000001" customHeight="1" x14ac:dyDescent="0.25">
      <c r="A30" s="1"/>
      <c r="B30" s="34"/>
      <c r="C30" s="35" t="s">
        <v>103</v>
      </c>
      <c r="D30" s="67">
        <v>600</v>
      </c>
      <c r="E30" s="31"/>
      <c r="F30" s="48"/>
      <c r="G30" s="50"/>
      <c r="H30" s="31"/>
      <c r="I30" s="47"/>
      <c r="J30" s="47"/>
      <c r="K30" s="31"/>
      <c r="L30" s="32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5"/>
      <c r="CA30" s="16" t="s">
        <v>104</v>
      </c>
      <c r="CB30" s="18" t="str">
        <f>TRIM(WireDiamenterW4)</f>
        <v/>
      </c>
      <c r="CC30" s="18" t="str">
        <f t="shared" si="0"/>
        <v/>
      </c>
      <c r="CD30" s="18">
        <v>8421504</v>
      </c>
      <c r="CE30" s="18">
        <f t="shared" si="1"/>
        <v>13434828</v>
      </c>
      <c r="CF30" s="18">
        <f t="shared" si="2"/>
        <v>0</v>
      </c>
      <c r="CG30" s="18">
        <f t="shared" si="3"/>
        <v>1</v>
      </c>
      <c r="CH30" s="18">
        <f t="shared" si="4"/>
        <v>0</v>
      </c>
      <c r="CI30" s="18" t="str">
        <f t="shared" si="5"/>
        <v/>
      </c>
      <c r="CJ30" s="23"/>
      <c r="CZ30" s="18">
        <v>13434828</v>
      </c>
      <c r="DA30" s="19" t="s">
        <v>105</v>
      </c>
    </row>
    <row r="31" spans="1:105" s="15" customFormat="1" ht="20.100000000000001" customHeight="1" x14ac:dyDescent="0.25">
      <c r="A31" s="1"/>
      <c r="B31" s="34"/>
      <c r="C31" s="35" t="s">
        <v>106</v>
      </c>
      <c r="D31" s="67"/>
      <c r="E31" s="31"/>
      <c r="F31" s="31"/>
      <c r="G31" s="31"/>
      <c r="H31" s="31"/>
      <c r="I31" s="47"/>
      <c r="J31" s="47"/>
      <c r="K31" s="31"/>
      <c r="L31" s="32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5"/>
      <c r="CA31" s="16" t="s">
        <v>107</v>
      </c>
      <c r="CB31" s="18" t="str">
        <f>TRIM(ConnectorRotation1)</f>
        <v>0</v>
      </c>
      <c r="CC31" s="18" t="str">
        <f t="shared" si="0"/>
        <v>0</v>
      </c>
      <c r="CD31" s="18">
        <v>13434828</v>
      </c>
      <c r="CE31" s="18">
        <f t="shared" si="1"/>
        <v>13434828</v>
      </c>
      <c r="CF31" s="18">
        <f t="shared" si="2"/>
        <v>1</v>
      </c>
      <c r="CG31" s="18">
        <f t="shared" si="3"/>
        <v>0</v>
      </c>
      <c r="CH31" s="18">
        <f t="shared" si="4"/>
        <v>0</v>
      </c>
      <c r="CI31" s="18" t="str">
        <f t="shared" si="5"/>
        <v/>
      </c>
      <c r="CJ31" s="23"/>
      <c r="CZ31" s="18">
        <v>13434828</v>
      </c>
      <c r="DA31" s="19" t="s">
        <v>108</v>
      </c>
    </row>
    <row r="32" spans="1:105" s="15" customFormat="1" ht="20.100000000000001" customHeight="1" x14ac:dyDescent="0.25">
      <c r="A32" s="1"/>
      <c r="B32" s="34"/>
      <c r="C32" s="35" t="s">
        <v>109</v>
      </c>
      <c r="D32" s="67"/>
      <c r="E32" s="31"/>
      <c r="F32" s="68"/>
      <c r="G32" s="69"/>
      <c r="H32" s="31"/>
      <c r="I32" s="47"/>
      <c r="J32" s="47"/>
      <c r="K32" s="31"/>
      <c r="L32" s="32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5"/>
      <c r="CA32" s="16" t="s">
        <v>110</v>
      </c>
      <c r="CB32" s="18" t="str">
        <f>TRIM(ConnectorRotation2)</f>
        <v>0</v>
      </c>
      <c r="CC32" s="18" t="str">
        <f t="shared" si="0"/>
        <v>0</v>
      </c>
      <c r="CD32" s="18">
        <v>13434828</v>
      </c>
      <c r="CE32" s="18">
        <f t="shared" si="1"/>
        <v>13434828</v>
      </c>
      <c r="CF32" s="18">
        <f t="shared" si="2"/>
        <v>1</v>
      </c>
      <c r="CG32" s="18">
        <f t="shared" si="3"/>
        <v>0</v>
      </c>
      <c r="CH32" s="18">
        <f t="shared" si="4"/>
        <v>0</v>
      </c>
      <c r="CI32" s="18" t="str">
        <f t="shared" si="5"/>
        <v/>
      </c>
      <c r="CJ32" s="23"/>
      <c r="CZ32" s="18">
        <v>13434828</v>
      </c>
      <c r="DA32" s="19" t="s">
        <v>108</v>
      </c>
    </row>
    <row r="33" spans="1:105" s="15" customFormat="1" ht="20.100000000000001" customHeight="1" x14ac:dyDescent="0.25">
      <c r="A33" s="1"/>
      <c r="B33" s="34"/>
      <c r="C33" s="35" t="s">
        <v>111</v>
      </c>
      <c r="D33" s="67"/>
      <c r="E33" s="31"/>
      <c r="F33" s="48"/>
      <c r="G33" s="50"/>
      <c r="H33" s="31"/>
      <c r="I33" s="47"/>
      <c r="J33" s="47"/>
      <c r="K33" s="31"/>
      <c r="L33" s="32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5"/>
      <c r="CA33" s="16" t="s">
        <v>112</v>
      </c>
      <c r="CB33" s="18" t="str">
        <f>TRIM(ConnectorRotation3)</f>
        <v/>
      </c>
      <c r="CC33" s="18" t="str">
        <f t="shared" si="0"/>
        <v/>
      </c>
      <c r="CD33" s="18">
        <v>8421504</v>
      </c>
      <c r="CE33" s="18">
        <f t="shared" si="1"/>
        <v>13434828</v>
      </c>
      <c r="CF33" s="18">
        <f t="shared" si="2"/>
        <v>0</v>
      </c>
      <c r="CG33" s="18">
        <f t="shared" si="3"/>
        <v>1</v>
      </c>
      <c r="CH33" s="18">
        <f t="shared" si="4"/>
        <v>0</v>
      </c>
      <c r="CI33" s="18" t="str">
        <f t="shared" si="5"/>
        <v/>
      </c>
      <c r="CJ33" s="23"/>
      <c r="CZ33" s="18">
        <v>13434828</v>
      </c>
      <c r="DA33" s="19" t="s">
        <v>108</v>
      </c>
    </row>
    <row r="34" spans="1:105" s="15" customFormat="1" ht="20.100000000000001" customHeight="1" x14ac:dyDescent="0.25">
      <c r="A34" s="1"/>
      <c r="B34" s="34"/>
      <c r="C34" s="31"/>
      <c r="D34" s="31"/>
      <c r="E34" s="31"/>
      <c r="F34" s="48"/>
      <c r="G34" s="50"/>
      <c r="H34" s="31"/>
      <c r="I34" s="47"/>
      <c r="J34" s="47"/>
      <c r="K34" s="31"/>
      <c r="L34" s="32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5"/>
      <c r="CA34" s="16" t="s">
        <v>113</v>
      </c>
      <c r="CB34" s="18" t="str">
        <f>TRIM(ConnectorRotation4)</f>
        <v/>
      </c>
      <c r="CC34" s="18" t="str">
        <f t="shared" si="0"/>
        <v/>
      </c>
      <c r="CD34" s="18">
        <v>8421504</v>
      </c>
      <c r="CE34" s="18">
        <f t="shared" si="1"/>
        <v>13434828</v>
      </c>
      <c r="CF34" s="18">
        <f t="shared" si="2"/>
        <v>0</v>
      </c>
      <c r="CG34" s="18">
        <f t="shared" si="3"/>
        <v>1</v>
      </c>
      <c r="CH34" s="18">
        <f t="shared" si="4"/>
        <v>0</v>
      </c>
      <c r="CI34" s="18" t="str">
        <f t="shared" si="5"/>
        <v/>
      </c>
      <c r="CJ34" s="23"/>
      <c r="CZ34" s="18">
        <v>13434828</v>
      </c>
      <c r="DA34" s="19" t="s">
        <v>108</v>
      </c>
    </row>
    <row r="35" spans="1:105" s="15" customFormat="1" ht="20.100000000000001" customHeight="1" x14ac:dyDescent="0.25">
      <c r="A35" s="1"/>
      <c r="B35" s="34"/>
      <c r="C35" s="122" t="s">
        <v>114</v>
      </c>
      <c r="D35" s="123"/>
      <c r="E35" s="31"/>
      <c r="F35" s="48"/>
      <c r="G35" s="50"/>
      <c r="H35" s="31"/>
      <c r="I35" s="47"/>
      <c r="J35" s="47"/>
      <c r="K35" s="31"/>
      <c r="L35" s="32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5"/>
      <c r="CA35" s="16" t="s">
        <v>115</v>
      </c>
      <c r="CB35" s="18" t="str">
        <f>TRIM(ConnectorRotation5)</f>
        <v/>
      </c>
      <c r="CC35" s="18" t="str">
        <f t="shared" si="0"/>
        <v/>
      </c>
      <c r="CD35" s="18">
        <v>8421504</v>
      </c>
      <c r="CE35" s="18">
        <f t="shared" si="1"/>
        <v>13434828</v>
      </c>
      <c r="CF35" s="18">
        <f t="shared" si="2"/>
        <v>0</v>
      </c>
      <c r="CG35" s="18">
        <f t="shared" si="3"/>
        <v>1</v>
      </c>
      <c r="CH35" s="18">
        <f t="shared" si="4"/>
        <v>0</v>
      </c>
      <c r="CI35" s="18" t="str">
        <f t="shared" si="5"/>
        <v/>
      </c>
      <c r="CJ35" s="23"/>
      <c r="CZ35" s="18">
        <v>13434828</v>
      </c>
      <c r="DA35" s="19" t="s">
        <v>108</v>
      </c>
    </row>
    <row r="36" spans="1:105" s="15" customFormat="1" ht="20.100000000000001" customHeight="1" x14ac:dyDescent="0.25">
      <c r="A36" s="1"/>
      <c r="B36" s="34"/>
      <c r="C36" s="35" t="s">
        <v>90</v>
      </c>
      <c r="D36" s="70"/>
      <c r="E36" s="31"/>
      <c r="F36" s="48"/>
      <c r="G36" s="50"/>
      <c r="H36" s="31"/>
      <c r="I36" s="47"/>
      <c r="J36" s="47"/>
      <c r="K36" s="31"/>
      <c r="L36" s="32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5"/>
      <c r="CA36" s="16" t="s">
        <v>24</v>
      </c>
      <c r="CB36" s="18" t="str">
        <f>TRIM(TapeYesNo)</f>
        <v/>
      </c>
      <c r="CC36" s="18" t="str">
        <f t="shared" si="0"/>
        <v/>
      </c>
      <c r="CD36" s="18">
        <v>8421504</v>
      </c>
      <c r="CE36" s="18">
        <f t="shared" si="1"/>
        <v>16764057</v>
      </c>
      <c r="CF36" s="18">
        <f t="shared" si="2"/>
        <v>0</v>
      </c>
      <c r="CG36" s="18">
        <f t="shared" si="3"/>
        <v>1</v>
      </c>
      <c r="CH36" s="18">
        <f t="shared" si="4"/>
        <v>0</v>
      </c>
      <c r="CI36" s="18" t="str">
        <f t="shared" si="5"/>
        <v/>
      </c>
      <c r="CJ36" s="23"/>
      <c r="CZ36" s="18">
        <v>16764057</v>
      </c>
      <c r="DA36" s="19" t="s">
        <v>116</v>
      </c>
    </row>
    <row r="37" spans="1:105" s="15" customFormat="1" ht="20.100000000000001" customHeight="1" x14ac:dyDescent="0.25">
      <c r="A37" s="1"/>
      <c r="B37" s="34"/>
      <c r="C37" s="35" t="s">
        <v>117</v>
      </c>
      <c r="D37" s="71"/>
      <c r="E37" s="31"/>
      <c r="F37" s="48"/>
      <c r="G37" s="50"/>
      <c r="H37" s="31"/>
      <c r="I37" s="47"/>
      <c r="J37" s="47"/>
      <c r="K37" s="31"/>
      <c r="L37" s="32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5"/>
      <c r="CA37" s="16" t="s">
        <v>118</v>
      </c>
      <c r="CB37" s="18" t="str">
        <f>TRIM(TapeStartDistance)</f>
        <v/>
      </c>
      <c r="CC37" s="18" t="str">
        <f t="shared" si="0"/>
        <v/>
      </c>
      <c r="CD37" s="18">
        <v>8421504</v>
      </c>
      <c r="CE37" s="18">
        <f t="shared" si="1"/>
        <v>13434828</v>
      </c>
      <c r="CF37" s="18">
        <f t="shared" si="2"/>
        <v>0</v>
      </c>
      <c r="CG37" s="18">
        <f t="shared" si="3"/>
        <v>1</v>
      </c>
      <c r="CH37" s="18">
        <f t="shared" si="4"/>
        <v>0</v>
      </c>
      <c r="CI37" s="18" t="str">
        <f t="shared" si="5"/>
        <v/>
      </c>
      <c r="CJ37" s="23"/>
      <c r="CZ37" s="18">
        <v>13434828</v>
      </c>
      <c r="DA37" s="19" t="s">
        <v>119</v>
      </c>
    </row>
    <row r="38" spans="1:105" s="15" customFormat="1" ht="20.100000000000001" customHeight="1" x14ac:dyDescent="0.25">
      <c r="A38" s="1"/>
      <c r="B38" s="34"/>
      <c r="C38" s="35" t="s">
        <v>120</v>
      </c>
      <c r="D38" s="71"/>
      <c r="E38" s="31"/>
      <c r="F38" s="72"/>
      <c r="G38" s="50"/>
      <c r="H38" s="31"/>
      <c r="I38" s="50"/>
      <c r="J38" s="50"/>
      <c r="K38" s="31"/>
      <c r="L38" s="32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5"/>
      <c r="CA38" s="16" t="s">
        <v>121</v>
      </c>
      <c r="CB38" s="18" t="str">
        <f>TRIM(TapePitch)</f>
        <v/>
      </c>
      <c r="CC38" s="18" t="str">
        <f t="shared" si="0"/>
        <v/>
      </c>
      <c r="CD38" s="18">
        <v>8421504</v>
      </c>
      <c r="CE38" s="18">
        <f t="shared" si="1"/>
        <v>13434828</v>
      </c>
      <c r="CF38" s="18">
        <f t="shared" si="2"/>
        <v>0</v>
      </c>
      <c r="CG38" s="18">
        <f t="shared" si="3"/>
        <v>1</v>
      </c>
      <c r="CH38" s="18">
        <f t="shared" si="4"/>
        <v>0</v>
      </c>
      <c r="CI38" s="18" t="str">
        <f t="shared" si="5"/>
        <v/>
      </c>
      <c r="CJ38" s="23"/>
      <c r="CZ38" s="18">
        <v>13434828</v>
      </c>
      <c r="DA38" s="19" t="s">
        <v>122</v>
      </c>
    </row>
    <row r="39" spans="1:105" s="15" customFormat="1" ht="20.100000000000001" customHeight="1" x14ac:dyDescent="0.25">
      <c r="A39" s="1"/>
      <c r="B39" s="34"/>
      <c r="C39" s="35" t="s">
        <v>123</v>
      </c>
      <c r="D39" s="67">
        <v>3.3</v>
      </c>
      <c r="E39" s="31"/>
      <c r="F39" s="72"/>
      <c r="G39" s="50"/>
      <c r="H39" s="31"/>
      <c r="I39" s="50"/>
      <c r="J39" s="50"/>
      <c r="K39" s="31"/>
      <c r="L39" s="32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5"/>
      <c r="CA39" s="16" t="s">
        <v>124</v>
      </c>
      <c r="CB39" s="18" t="str">
        <f>TRIM(CONN1CAVITYPITCH)</f>
        <v/>
      </c>
      <c r="CC39" s="18" t="str">
        <f t="shared" si="0"/>
        <v/>
      </c>
      <c r="CD39" s="18">
        <v>8421504</v>
      </c>
      <c r="CE39" s="18">
        <f t="shared" si="1"/>
        <v>13434828</v>
      </c>
      <c r="CF39" s="18">
        <f t="shared" si="2"/>
        <v>0</v>
      </c>
      <c r="CG39" s="18">
        <f t="shared" si="3"/>
        <v>1</v>
      </c>
      <c r="CH39" s="18">
        <f t="shared" si="4"/>
        <v>0</v>
      </c>
      <c r="CI39" s="18" t="str">
        <f t="shared" si="5"/>
        <v/>
      </c>
      <c r="CJ39" s="23"/>
      <c r="CZ39" s="18">
        <v>13434828</v>
      </c>
      <c r="DA39" s="19" t="s">
        <v>125</v>
      </c>
    </row>
    <row r="40" spans="1:105" s="15" customFormat="1" ht="20.100000000000001" customHeight="1" x14ac:dyDescent="0.25">
      <c r="A40" s="1"/>
      <c r="B40" s="34"/>
      <c r="C40" s="35" t="s">
        <v>126</v>
      </c>
      <c r="D40" s="67"/>
      <c r="E40" s="31"/>
      <c r="F40" s="50"/>
      <c r="G40" s="50"/>
      <c r="H40" s="50"/>
      <c r="I40" s="50"/>
      <c r="J40" s="50"/>
      <c r="K40" s="31"/>
      <c r="L40" s="32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5"/>
      <c r="CA40" s="16" t="s">
        <v>127</v>
      </c>
      <c r="CB40" s="18" t="str">
        <f>TRIM(CONN2CAVITYPITCH)</f>
        <v/>
      </c>
      <c r="CC40" s="18" t="str">
        <f t="shared" si="0"/>
        <v/>
      </c>
      <c r="CD40" s="18">
        <v>8421504</v>
      </c>
      <c r="CE40" s="18">
        <f t="shared" si="1"/>
        <v>13434828</v>
      </c>
      <c r="CF40" s="18">
        <f t="shared" si="2"/>
        <v>0</v>
      </c>
      <c r="CG40" s="18">
        <f t="shared" si="3"/>
        <v>1</v>
      </c>
      <c r="CH40" s="18">
        <f t="shared" si="4"/>
        <v>0</v>
      </c>
      <c r="CI40" s="18" t="str">
        <f t="shared" si="5"/>
        <v/>
      </c>
      <c r="CJ40" s="23"/>
      <c r="CZ40" s="18">
        <v>13434828</v>
      </c>
      <c r="DA40" s="19" t="s">
        <v>125</v>
      </c>
    </row>
    <row r="41" spans="1:105" s="15" customFormat="1" ht="20.100000000000001" customHeight="1" x14ac:dyDescent="0.25">
      <c r="A41" s="1"/>
      <c r="B41" s="34"/>
      <c r="C41" s="35" t="s">
        <v>128</v>
      </c>
      <c r="D41" s="67"/>
      <c r="E41" s="31"/>
      <c r="F41" s="50"/>
      <c r="G41" s="50"/>
      <c r="H41" s="50"/>
      <c r="I41" s="50"/>
      <c r="J41" s="50"/>
      <c r="K41" s="31"/>
      <c r="L41" s="32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5"/>
      <c r="CA41" s="16" t="s">
        <v>129</v>
      </c>
      <c r="CB41" s="73" t="str">
        <f>TRIM(J7)</f>
        <v/>
      </c>
      <c r="CC41" s="18" t="str">
        <f t="shared" si="0"/>
        <v/>
      </c>
      <c r="CD41" s="18">
        <v>8421504</v>
      </c>
      <c r="CE41" s="18">
        <f t="shared" si="1"/>
        <v>16764057</v>
      </c>
      <c r="CF41" s="18">
        <f t="shared" si="2"/>
        <v>0</v>
      </c>
      <c r="CG41" s="18">
        <f t="shared" si="3"/>
        <v>1</v>
      </c>
      <c r="CH41" s="18">
        <f t="shared" si="4"/>
        <v>0</v>
      </c>
      <c r="CI41" s="18" t="str">
        <f t="shared" si="5"/>
        <v/>
      </c>
      <c r="CJ41" s="23"/>
      <c r="CZ41" s="18">
        <v>16764057</v>
      </c>
      <c r="DA41" s="19" t="s">
        <v>130</v>
      </c>
    </row>
    <row r="42" spans="1:105" s="15" customFormat="1" ht="20.100000000000001" customHeight="1" x14ac:dyDescent="0.25">
      <c r="A42" s="1"/>
      <c r="B42" s="34"/>
      <c r="C42" s="35" t="s">
        <v>131</v>
      </c>
      <c r="D42" s="67"/>
      <c r="E42" s="31"/>
      <c r="F42" s="50"/>
      <c r="G42" s="50"/>
      <c r="H42" s="50"/>
      <c r="I42" s="50"/>
      <c r="J42" s="50"/>
      <c r="K42" s="31"/>
      <c r="L42" s="32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5"/>
      <c r="CA42" s="16" t="s">
        <v>132</v>
      </c>
      <c r="CB42" s="73" t="str">
        <f>TRIM(J8)</f>
        <v/>
      </c>
      <c r="CC42" s="18" t="str">
        <f t="shared" si="0"/>
        <v/>
      </c>
      <c r="CD42" s="18">
        <v>8421504</v>
      </c>
      <c r="CE42" s="18">
        <f t="shared" si="1"/>
        <v>16764057</v>
      </c>
      <c r="CF42" s="18">
        <f t="shared" si="2"/>
        <v>0</v>
      </c>
      <c r="CG42" s="18">
        <f t="shared" si="3"/>
        <v>1</v>
      </c>
      <c r="CH42" s="18">
        <f t="shared" si="4"/>
        <v>0</v>
      </c>
      <c r="CI42" s="18" t="str">
        <f t="shared" si="5"/>
        <v/>
      </c>
      <c r="CJ42" s="23"/>
      <c r="CZ42" s="18">
        <v>16764057</v>
      </c>
      <c r="DA42" s="19" t="s">
        <v>130</v>
      </c>
    </row>
    <row r="43" spans="1:105" s="15" customFormat="1" ht="20.100000000000001" customHeight="1" x14ac:dyDescent="0.25">
      <c r="A43" s="1"/>
      <c r="B43" s="34"/>
      <c r="C43" s="31"/>
      <c r="D43" s="31"/>
      <c r="E43" s="31"/>
      <c r="F43" s="50"/>
      <c r="G43" s="50"/>
      <c r="H43" s="50"/>
      <c r="I43" s="50"/>
      <c r="J43" s="50"/>
      <c r="K43" s="31"/>
      <c r="L43" s="32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5"/>
      <c r="CA43" s="16" t="s">
        <v>41</v>
      </c>
      <c r="CB43" s="73" t="str">
        <f>TRIM(J9)</f>
        <v/>
      </c>
      <c r="CC43" s="18" t="str">
        <f t="shared" si="0"/>
        <v/>
      </c>
      <c r="CD43" s="18">
        <v>8421504</v>
      </c>
      <c r="CE43" s="18">
        <f t="shared" si="1"/>
        <v>16764057</v>
      </c>
      <c r="CF43" s="18">
        <f t="shared" si="2"/>
        <v>0</v>
      </c>
      <c r="CG43" s="18">
        <f t="shared" si="3"/>
        <v>1</v>
      </c>
      <c r="CH43" s="18">
        <f t="shared" si="4"/>
        <v>0</v>
      </c>
      <c r="CI43" s="18" t="str">
        <f t="shared" si="5"/>
        <v/>
      </c>
      <c r="CJ43" s="23"/>
      <c r="CZ43" s="18">
        <v>16764057</v>
      </c>
      <c r="DA43" s="19" t="s">
        <v>130</v>
      </c>
    </row>
    <row r="44" spans="1:105" s="15" customFormat="1" ht="20.100000000000001" customHeight="1" x14ac:dyDescent="0.25">
      <c r="A44" s="1"/>
      <c r="B44" s="34"/>
      <c r="C44" s="122" t="s">
        <v>133</v>
      </c>
      <c r="D44" s="123"/>
      <c r="E44" s="31"/>
      <c r="F44" s="48"/>
      <c r="G44" s="50"/>
      <c r="H44" s="31"/>
      <c r="I44" s="50"/>
      <c r="J44" s="50"/>
      <c r="K44" s="31"/>
      <c r="L44" s="32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5"/>
      <c r="CA44" s="16" t="s">
        <v>134</v>
      </c>
      <c r="CB44" s="73" t="str">
        <f>TRIM(J10)</f>
        <v/>
      </c>
      <c r="CC44" s="18" t="str">
        <f t="shared" si="0"/>
        <v/>
      </c>
      <c r="CD44" s="18">
        <v>8421504</v>
      </c>
      <c r="CE44" s="18">
        <f t="shared" si="1"/>
        <v>16764057</v>
      </c>
      <c r="CF44" s="18">
        <f t="shared" si="2"/>
        <v>0</v>
      </c>
      <c r="CG44" s="18">
        <f t="shared" si="3"/>
        <v>1</v>
      </c>
      <c r="CH44" s="18">
        <f t="shared" si="4"/>
        <v>0</v>
      </c>
      <c r="CI44" s="18" t="str">
        <f t="shared" si="5"/>
        <v/>
      </c>
      <c r="CJ44" s="23"/>
      <c r="CZ44" s="18">
        <v>16764057</v>
      </c>
      <c r="DA44" s="19" t="s">
        <v>130</v>
      </c>
    </row>
    <row r="45" spans="1:105" s="15" customFormat="1" ht="20.100000000000001" customHeight="1" x14ac:dyDescent="0.25">
      <c r="A45" s="1"/>
      <c r="B45" s="34"/>
      <c r="C45" s="35" t="s">
        <v>107</v>
      </c>
      <c r="D45" s="39">
        <v>0</v>
      </c>
      <c r="E45" s="31"/>
      <c r="F45" s="48"/>
      <c r="G45" s="50"/>
      <c r="H45" s="31"/>
      <c r="I45" s="50"/>
      <c r="J45" s="50"/>
      <c r="K45" s="31"/>
      <c r="L45" s="32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5"/>
      <c r="CA45" s="74"/>
      <c r="CB45" s="23"/>
      <c r="CD45" s="75"/>
      <c r="CE45" s="23"/>
      <c r="CH45" s="74"/>
      <c r="CI45" s="74"/>
      <c r="CZ45" s="23"/>
      <c r="DA45" s="74"/>
    </row>
    <row r="46" spans="1:105" ht="20.100000000000001" customHeight="1" x14ac:dyDescent="0.25">
      <c r="B46" s="34"/>
      <c r="C46" s="35" t="s">
        <v>110</v>
      </c>
      <c r="D46" s="39">
        <v>0</v>
      </c>
      <c r="E46" s="31"/>
      <c r="F46" s="31"/>
      <c r="G46" s="31"/>
      <c r="H46" s="31"/>
      <c r="I46" s="31"/>
      <c r="J46" s="31"/>
      <c r="K46" s="31"/>
      <c r="L46" s="32"/>
      <c r="CD46" s="78"/>
    </row>
    <row r="47" spans="1:105" ht="20.100000000000001" customHeight="1" x14ac:dyDescent="0.25">
      <c r="B47" s="34"/>
      <c r="C47" s="35" t="s">
        <v>112</v>
      </c>
      <c r="D47" s="39"/>
      <c r="E47" s="31"/>
      <c r="F47" s="31"/>
      <c r="G47" s="31"/>
      <c r="H47" s="31"/>
      <c r="I47" s="31"/>
      <c r="J47" s="31"/>
      <c r="K47" s="31"/>
      <c r="L47" s="32"/>
    </row>
    <row r="48" spans="1:105" ht="20.100000000000001" customHeight="1" x14ac:dyDescent="0.25">
      <c r="B48" s="34"/>
      <c r="C48" s="35" t="s">
        <v>113</v>
      </c>
      <c r="D48" s="39"/>
      <c r="E48" s="31"/>
      <c r="F48" s="31"/>
      <c r="G48" s="31"/>
      <c r="H48" s="31"/>
      <c r="I48" s="31"/>
      <c r="J48" s="31"/>
      <c r="K48" s="31"/>
      <c r="L48" s="32"/>
    </row>
    <row r="49" spans="1:105" ht="20.100000000000001" customHeight="1" x14ac:dyDescent="0.25">
      <c r="B49" s="34"/>
      <c r="C49" s="35" t="s">
        <v>115</v>
      </c>
      <c r="D49" s="39"/>
      <c r="E49" s="31"/>
      <c r="F49" s="31"/>
      <c r="G49" s="31"/>
      <c r="H49" s="31"/>
      <c r="I49" s="31"/>
      <c r="J49" s="31"/>
      <c r="K49" s="31"/>
      <c r="L49" s="32"/>
    </row>
    <row r="50" spans="1:105" ht="20.100000000000001" customHeight="1" thickBot="1" x14ac:dyDescent="0.3">
      <c r="B50" s="79"/>
      <c r="C50" s="80"/>
      <c r="D50" s="81"/>
      <c r="E50" s="82"/>
      <c r="F50" s="82"/>
      <c r="G50" s="82"/>
      <c r="H50" s="82"/>
      <c r="I50" s="82"/>
      <c r="J50" s="82"/>
      <c r="K50" s="82"/>
      <c r="L50" s="83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</row>
    <row r="51" spans="1:105" ht="20.100000000000001" customHeight="1" x14ac:dyDescent="0.25">
      <c r="B51" s="1"/>
      <c r="C51" s="1"/>
      <c r="E51" s="1"/>
    </row>
    <row r="52" spans="1:105" ht="20.100000000000001" customHeight="1" x14ac:dyDescent="0.25">
      <c r="B52" s="1"/>
      <c r="C52" s="1"/>
      <c r="E52" s="1"/>
    </row>
    <row r="53" spans="1:105" ht="20.100000000000001" customHeight="1" x14ac:dyDescent="0.25">
      <c r="B53" s="1"/>
      <c r="C53" s="1"/>
      <c r="E53" s="1"/>
    </row>
    <row r="54" spans="1:105" ht="20.100000000000001" customHeight="1" x14ac:dyDescent="0.25">
      <c r="B54" s="1"/>
      <c r="C54" s="1"/>
      <c r="E54" s="1"/>
    </row>
    <row r="55" spans="1:105" ht="20.100000000000001" customHeight="1" x14ac:dyDescent="0.25">
      <c r="B55" s="1"/>
      <c r="C55" s="1"/>
      <c r="E55" s="1"/>
    </row>
    <row r="56" spans="1:105" ht="20.100000000000001" customHeight="1" x14ac:dyDescent="0.25">
      <c r="B56" s="1"/>
      <c r="C56" s="1"/>
      <c r="E56" s="1"/>
    </row>
    <row r="57" spans="1:105" ht="20.100000000000001" customHeight="1" x14ac:dyDescent="0.25">
      <c r="B57" s="1"/>
      <c r="C57" s="1"/>
      <c r="E57" s="1"/>
      <c r="F57" s="4"/>
    </row>
    <row r="58" spans="1:105" x14ac:dyDescent="0.25">
      <c r="C58" s="2"/>
      <c r="D58" s="3"/>
      <c r="F58" s="4"/>
    </row>
    <row r="59" spans="1:105" x14ac:dyDescent="0.25">
      <c r="C59" s="2"/>
      <c r="D59" s="3"/>
      <c r="F59" s="4"/>
    </row>
    <row r="60" spans="1:105" s="15" customFormat="1" x14ac:dyDescent="0.25">
      <c r="A60" s="1"/>
      <c r="B60" s="2"/>
      <c r="C60" s="2"/>
      <c r="D60" s="3"/>
      <c r="E60" s="1"/>
      <c r="F60" s="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5"/>
      <c r="CA60" s="74"/>
      <c r="CB60" s="23"/>
      <c r="CE60" s="23"/>
      <c r="CH60" s="74"/>
      <c r="CI60" s="74"/>
      <c r="CZ60" s="23"/>
      <c r="DA60" s="74"/>
    </row>
    <row r="61" spans="1:105" s="15" customFormat="1" x14ac:dyDescent="0.25">
      <c r="A61" s="1"/>
      <c r="B61" s="2"/>
      <c r="C61" s="3"/>
      <c r="D61" s="1"/>
      <c r="E61" s="1"/>
      <c r="F61" s="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5"/>
      <c r="CA61" s="74"/>
      <c r="CB61" s="23"/>
      <c r="CE61" s="23"/>
      <c r="CH61" s="74"/>
      <c r="CI61" s="74"/>
      <c r="CZ61" s="23"/>
      <c r="DA61" s="74"/>
    </row>
    <row r="62" spans="1:105" s="15" customFormat="1" x14ac:dyDescent="0.25">
      <c r="A62" s="1"/>
      <c r="B62" s="2"/>
      <c r="C62" s="3"/>
      <c r="D62" s="1"/>
      <c r="E62" s="1"/>
      <c r="F62" s="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5"/>
      <c r="CA62" s="74"/>
      <c r="CB62" s="23"/>
      <c r="CE62" s="23"/>
      <c r="CH62" s="74"/>
      <c r="CI62" s="74"/>
      <c r="CZ62" s="23"/>
      <c r="DA62" s="74"/>
    </row>
    <row r="63" spans="1:105" s="15" customFormat="1" x14ac:dyDescent="0.25">
      <c r="A63" s="1"/>
      <c r="B63" s="2"/>
      <c r="C63" s="3"/>
      <c r="D63" s="1"/>
      <c r="E63" s="1"/>
      <c r="F63" s="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5"/>
      <c r="CA63" s="74"/>
      <c r="CB63" s="23"/>
      <c r="CE63" s="23"/>
      <c r="CH63" s="74"/>
      <c r="CI63" s="74"/>
      <c r="CZ63" s="23"/>
      <c r="DA63" s="74"/>
    </row>
    <row r="64" spans="1:105" s="15" customFormat="1" x14ac:dyDescent="0.25">
      <c r="A64" s="1"/>
      <c r="B64" s="2"/>
      <c r="C64" s="3"/>
      <c r="D64" s="1"/>
      <c r="E64" s="1"/>
      <c r="F64" s="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5"/>
      <c r="CA64" s="74"/>
      <c r="CB64" s="23"/>
      <c r="CE64" s="23"/>
      <c r="CH64" s="74"/>
      <c r="CI64" s="74"/>
      <c r="CZ64" s="23"/>
      <c r="DA64" s="74"/>
    </row>
    <row r="65" spans="1:105" s="15" customFormat="1" x14ac:dyDescent="0.25">
      <c r="A65" s="1"/>
      <c r="B65" s="2"/>
      <c r="C65" s="3"/>
      <c r="D65" s="1"/>
      <c r="E65" s="1"/>
      <c r="F65" s="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5"/>
      <c r="CA65" s="74"/>
      <c r="CB65" s="23"/>
      <c r="CE65" s="23"/>
      <c r="CH65" s="74"/>
      <c r="CI65" s="74"/>
      <c r="CZ65" s="23"/>
      <c r="DA65" s="74"/>
    </row>
    <row r="66" spans="1:105" s="15" customFormat="1" x14ac:dyDescent="0.25">
      <c r="A66" s="1"/>
      <c r="B66" s="2"/>
      <c r="C66" s="3"/>
      <c r="D66" s="1"/>
      <c r="E66" s="1"/>
      <c r="F66" s="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5"/>
      <c r="CA66" s="74"/>
      <c r="CB66" s="23"/>
      <c r="CE66" s="23"/>
      <c r="CH66" s="74"/>
      <c r="CI66" s="74"/>
      <c r="CZ66" s="23"/>
      <c r="DA66" s="74"/>
    </row>
    <row r="67" spans="1:105" s="15" customFormat="1" x14ac:dyDescent="0.25">
      <c r="A67" s="1"/>
      <c r="B67" s="2"/>
      <c r="C67" s="3"/>
      <c r="D67" s="1"/>
      <c r="E67" s="1"/>
      <c r="F67" s="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5"/>
      <c r="CA67" s="74"/>
      <c r="CB67" s="23"/>
      <c r="CE67" s="23"/>
      <c r="CH67" s="74"/>
      <c r="CI67" s="74"/>
      <c r="CZ67" s="23"/>
      <c r="DA67" s="74"/>
    </row>
    <row r="68" spans="1:105" s="15" customFormat="1" x14ac:dyDescent="0.25">
      <c r="A68" s="1"/>
      <c r="B68" s="2"/>
      <c r="C68" s="3"/>
      <c r="D68" s="1"/>
      <c r="E68" s="1"/>
      <c r="F68" s="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5"/>
      <c r="CA68" s="74"/>
      <c r="CB68" s="23"/>
      <c r="CE68" s="23"/>
      <c r="CH68" s="74"/>
      <c r="CI68" s="74"/>
      <c r="CZ68" s="23"/>
      <c r="DA68" s="74"/>
    </row>
    <row r="69" spans="1:105" s="15" customFormat="1" x14ac:dyDescent="0.25">
      <c r="A69" s="1"/>
      <c r="B69" s="2"/>
      <c r="C69" s="2"/>
      <c r="D69" s="3"/>
      <c r="E69" s="1"/>
      <c r="F69" s="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5"/>
      <c r="CA69" s="74"/>
      <c r="CB69" s="23"/>
      <c r="CE69" s="23"/>
      <c r="CH69" s="74"/>
      <c r="CI69" s="74"/>
      <c r="CZ69" s="23"/>
      <c r="DA69" s="74"/>
    </row>
    <row r="70" spans="1:105" s="15" customFormat="1" x14ac:dyDescent="0.25">
      <c r="A70" s="1"/>
      <c r="B70" s="2"/>
      <c r="C70" s="2"/>
      <c r="D70" s="85"/>
      <c r="E70" s="1"/>
      <c r="F70" s="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5"/>
      <c r="CA70" s="74"/>
      <c r="CB70" s="23"/>
      <c r="CE70" s="23"/>
      <c r="CH70" s="74"/>
      <c r="CI70" s="74"/>
      <c r="CZ70" s="23"/>
      <c r="DA70" s="74"/>
    </row>
    <row r="71" spans="1:105" s="15" customFormat="1" x14ac:dyDescent="0.25">
      <c r="A71" s="1"/>
      <c r="B71" s="2"/>
      <c r="C71" s="2"/>
      <c r="D71" s="86"/>
      <c r="E71" s="1"/>
      <c r="F71" s="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5"/>
      <c r="CA71" s="74"/>
      <c r="CB71" s="23"/>
      <c r="CE71" s="23"/>
      <c r="CH71" s="74"/>
      <c r="CI71" s="74"/>
      <c r="CZ71" s="23"/>
      <c r="DA71" s="74"/>
    </row>
    <row r="72" spans="1:105" s="15" customFormat="1" x14ac:dyDescent="0.25">
      <c r="A72" s="1"/>
      <c r="B72" s="2"/>
      <c r="C72" s="2"/>
      <c r="D72" s="86"/>
      <c r="E72" s="1"/>
      <c r="F72" s="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5"/>
      <c r="CA72" s="74"/>
      <c r="CB72" s="23"/>
      <c r="CE72" s="23"/>
      <c r="CH72" s="74"/>
      <c r="CI72" s="74"/>
      <c r="CZ72" s="23"/>
      <c r="DA72" s="74"/>
    </row>
    <row r="73" spans="1:105" s="15" customFormat="1" x14ac:dyDescent="0.25">
      <c r="A73" s="1"/>
      <c r="B73" s="2"/>
      <c r="C73" s="2"/>
      <c r="D73" s="8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5"/>
      <c r="CA73" s="74"/>
      <c r="CB73" s="23"/>
      <c r="CE73" s="23"/>
      <c r="CH73" s="74"/>
      <c r="CI73" s="74"/>
      <c r="CZ73" s="23"/>
      <c r="DA73" s="74"/>
    </row>
    <row r="74" spans="1:105" s="15" customFormat="1" x14ac:dyDescent="0.25">
      <c r="A74" s="1"/>
      <c r="B74" s="2"/>
      <c r="C74" s="2"/>
      <c r="D74" s="8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5"/>
      <c r="CA74" s="74"/>
      <c r="CB74" s="23"/>
      <c r="CE74" s="23"/>
      <c r="CH74" s="74"/>
      <c r="CI74" s="74"/>
      <c r="CZ74" s="23"/>
      <c r="DA74" s="74"/>
    </row>
    <row r="75" spans="1:105" s="15" customFormat="1" x14ac:dyDescent="0.25">
      <c r="A75" s="1"/>
      <c r="B75" s="2"/>
      <c r="C75" s="2"/>
      <c r="D75" s="8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5"/>
      <c r="CA75" s="74"/>
      <c r="CB75" s="23"/>
      <c r="CE75" s="23"/>
      <c r="CH75" s="74"/>
      <c r="CI75" s="74"/>
      <c r="CZ75" s="23"/>
      <c r="DA75" s="74"/>
    </row>
    <row r="76" spans="1:105" s="15" customFormat="1" x14ac:dyDescent="0.25">
      <c r="A76" s="1"/>
      <c r="B76" s="2"/>
      <c r="C76" s="2"/>
      <c r="D76" s="86"/>
      <c r="E76" s="4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5"/>
      <c r="CA76" s="74"/>
      <c r="CB76" s="23"/>
      <c r="CE76" s="23"/>
      <c r="CH76" s="74"/>
      <c r="CI76" s="74"/>
      <c r="CZ76" s="23"/>
      <c r="DA76" s="74"/>
    </row>
    <row r="77" spans="1:105" s="15" customFormat="1" x14ac:dyDescent="0.25">
      <c r="A77" s="1"/>
      <c r="B77" s="2"/>
      <c r="C77" s="2"/>
      <c r="D77" s="86"/>
      <c r="E77" s="4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5"/>
      <c r="CA77" s="74"/>
      <c r="CB77" s="23"/>
      <c r="CE77" s="23"/>
      <c r="CH77" s="74"/>
      <c r="CI77" s="74"/>
      <c r="CZ77" s="23"/>
      <c r="DA77" s="74"/>
    </row>
    <row r="78" spans="1:105" s="15" customFormat="1" x14ac:dyDescent="0.25">
      <c r="A78" s="1"/>
      <c r="B78" s="2"/>
      <c r="C78" s="2"/>
      <c r="D78" s="86"/>
      <c r="E78" s="4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5"/>
      <c r="CA78" s="74"/>
      <c r="CB78" s="23"/>
      <c r="CE78" s="23"/>
      <c r="CH78" s="74"/>
      <c r="CI78" s="74"/>
      <c r="CZ78" s="23"/>
      <c r="DA78" s="74"/>
    </row>
    <row r="79" spans="1:105" x14ac:dyDescent="0.25">
      <c r="C79" s="2"/>
      <c r="D79" s="86"/>
    </row>
    <row r="80" spans="1:105" x14ac:dyDescent="0.25">
      <c r="C80" s="2"/>
      <c r="D80" s="86"/>
    </row>
    <row r="81" spans="3:4" x14ac:dyDescent="0.25">
      <c r="C81" s="2"/>
      <c r="D81" s="86"/>
    </row>
    <row r="82" spans="3:4" x14ac:dyDescent="0.25">
      <c r="C82" s="2"/>
      <c r="D82" s="86"/>
    </row>
    <row r="83" spans="3:4" x14ac:dyDescent="0.25">
      <c r="C83" s="2"/>
      <c r="D83" s="86"/>
    </row>
    <row r="84" spans="3:4" x14ac:dyDescent="0.25">
      <c r="C84" s="2"/>
      <c r="D84" s="86"/>
    </row>
    <row r="85" spans="3:4" x14ac:dyDescent="0.25">
      <c r="C85" s="86"/>
    </row>
    <row r="86" spans="3:4" x14ac:dyDescent="0.25">
      <c r="C86" s="86"/>
    </row>
  </sheetData>
  <mergeCells count="16">
    <mergeCell ref="C17:D17"/>
    <mergeCell ref="C26:D26"/>
    <mergeCell ref="C35:D35"/>
    <mergeCell ref="C44:D44"/>
    <mergeCell ref="O7:R7"/>
    <mergeCell ref="O8:R8"/>
    <mergeCell ref="O9:R9"/>
    <mergeCell ref="C10:D10"/>
    <mergeCell ref="F10:G10"/>
    <mergeCell ref="N11:R11"/>
    <mergeCell ref="O6:R6"/>
    <mergeCell ref="B3:J3"/>
    <mergeCell ref="C5:D5"/>
    <mergeCell ref="F5:G5"/>
    <mergeCell ref="I5:J5"/>
    <mergeCell ref="O5:R5"/>
  </mergeCells>
  <conditionalFormatting sqref="D28">
    <cfRule type="expression" dxfId="49" priority="26">
      <formula>($D$27="Multiple to Multiple")</formula>
    </cfRule>
    <cfRule type="expression" dxfId="48" priority="46">
      <formula>($D$27="Single to Single")</formula>
    </cfRule>
  </conditionalFormatting>
  <conditionalFormatting sqref="D37:D38">
    <cfRule type="expression" dxfId="47" priority="45">
      <formula>$D$36="Non-Twisted"</formula>
    </cfRule>
  </conditionalFormatting>
  <conditionalFormatting sqref="D14">
    <cfRule type="expression" dxfId="46" priority="44">
      <formula>$D$13="Not Included"</formula>
    </cfRule>
  </conditionalFormatting>
  <conditionalFormatting sqref="N8">
    <cfRule type="expression" dxfId="45" priority="43">
      <formula>$D$13="Not Included"</formula>
    </cfRule>
  </conditionalFormatting>
  <conditionalFormatting sqref="D28">
    <cfRule type="expression" dxfId="44" priority="42">
      <formula>($D$27="General")</formula>
    </cfRule>
  </conditionalFormatting>
  <conditionalFormatting sqref="D31:D33">
    <cfRule type="expression" dxfId="43" priority="18">
      <formula>($D$27="Multiple to Multiple")</formula>
    </cfRule>
    <cfRule type="expression" dxfId="42" priority="41">
      <formula>($D$27="Single to Single")</formula>
    </cfRule>
  </conditionalFormatting>
  <conditionalFormatting sqref="D29:D33">
    <cfRule type="expression" dxfId="41" priority="40">
      <formula>($D$27="General")</formula>
    </cfRule>
  </conditionalFormatting>
  <conditionalFormatting sqref="D40:D42">
    <cfRule type="expression" dxfId="40" priority="39">
      <formula>($D$27="Single to Single")</formula>
    </cfRule>
  </conditionalFormatting>
  <conditionalFormatting sqref="D36:D42">
    <cfRule type="expression" dxfId="39" priority="38">
      <formula>($D$27="General")</formula>
    </cfRule>
  </conditionalFormatting>
  <conditionalFormatting sqref="D45">
    <cfRule type="expression" dxfId="38" priority="12">
      <formula>$D$28="Left"</formula>
    </cfRule>
    <cfRule type="expression" dxfId="37" priority="37">
      <formula>($D$27="General")</formula>
    </cfRule>
  </conditionalFormatting>
  <conditionalFormatting sqref="D47:D49">
    <cfRule type="expression" dxfId="36" priority="28">
      <formula>($D$27="Single to Single")</formula>
    </cfRule>
  </conditionalFormatting>
  <conditionalFormatting sqref="I7">
    <cfRule type="expression" dxfId="35" priority="35">
      <formula>($D$27&lt;&gt;"Multiple to Multiple")</formula>
    </cfRule>
  </conditionalFormatting>
  <conditionalFormatting sqref="I8:J8">
    <cfRule type="expression" dxfId="34" priority="34">
      <formula>($D$27&lt;&gt;"Multiple to Multiple")</formula>
    </cfRule>
  </conditionalFormatting>
  <conditionalFormatting sqref="J7">
    <cfRule type="expression" dxfId="33" priority="33">
      <formula>($D$27&lt;&gt;"Multiple to Multiple")</formula>
    </cfRule>
  </conditionalFormatting>
  <conditionalFormatting sqref="D32">
    <cfRule type="expression" dxfId="32" priority="32">
      <formula>($D$29&lt;3)</formula>
    </cfRule>
  </conditionalFormatting>
  <conditionalFormatting sqref="D33">
    <cfRule type="expression" dxfId="31" priority="31">
      <formula>($D$29&lt;&gt;4)</formula>
    </cfRule>
  </conditionalFormatting>
  <conditionalFormatting sqref="D41">
    <cfRule type="expression" dxfId="30" priority="30">
      <formula>($D$29&lt;3)</formula>
    </cfRule>
  </conditionalFormatting>
  <conditionalFormatting sqref="D42">
    <cfRule type="expression" dxfId="29" priority="29">
      <formula>($D$29&lt;&gt;4)</formula>
    </cfRule>
  </conditionalFormatting>
  <conditionalFormatting sqref="D49">
    <cfRule type="expression" dxfId="28" priority="9">
      <formula>AND($D$28="Right",$D$29=4)</formula>
    </cfRule>
    <cfRule type="expression" dxfId="27" priority="27">
      <formula>($D$29=3)</formula>
    </cfRule>
  </conditionalFormatting>
  <conditionalFormatting sqref="J10">
    <cfRule type="expression" dxfId="26" priority="24">
      <formula>($D$27&lt;&gt;"Multiple to Multiple")</formula>
    </cfRule>
  </conditionalFormatting>
  <conditionalFormatting sqref="J9">
    <cfRule type="expression" dxfId="25" priority="22">
      <formula>($D$27&lt;&gt;"Multiple to Multiple")</formula>
    </cfRule>
  </conditionalFormatting>
  <conditionalFormatting sqref="D29">
    <cfRule type="expression" dxfId="24" priority="21">
      <formula>$D$27="Single to Single"</formula>
    </cfRule>
  </conditionalFormatting>
  <conditionalFormatting sqref="D45:D49">
    <cfRule type="expression" dxfId="23" priority="17">
      <formula>($D$27="Multiple to Multiple")</formula>
    </cfRule>
    <cfRule type="expression" dxfId="22" priority="36">
      <formula>($D$27="General")</formula>
    </cfRule>
  </conditionalFormatting>
  <conditionalFormatting sqref="D48:D49">
    <cfRule type="expression" dxfId="21" priority="19">
      <formula>($D$29=2)</formula>
    </cfRule>
  </conditionalFormatting>
  <conditionalFormatting sqref="D36:D38">
    <cfRule type="expression" dxfId="20" priority="16">
      <formula>($D$27="Multiple to Single")</formula>
    </cfRule>
    <cfRule type="expression" dxfId="19" priority="20">
      <formula>($D$27="Single to Single")</formula>
    </cfRule>
  </conditionalFormatting>
  <conditionalFormatting sqref="D36">
    <cfRule type="expression" dxfId="18" priority="15">
      <formula>AND(($D$27="Multiple to Multiple"),($D$29&lt;&gt;2))</formula>
    </cfRule>
  </conditionalFormatting>
  <conditionalFormatting sqref="I10:J10">
    <cfRule type="expression" dxfId="17" priority="14">
      <formula>($D$29&lt;4)</formula>
    </cfRule>
    <cfRule type="expression" dxfId="16" priority="25">
      <formula>($D$27&lt;&gt;"Multiple to Multiple")</formula>
    </cfRule>
  </conditionalFormatting>
  <conditionalFormatting sqref="I9:J9">
    <cfRule type="expression" dxfId="15" priority="13">
      <formula>$D$29&lt;3</formula>
    </cfRule>
    <cfRule type="expression" dxfId="14" priority="23">
      <formula>($D$27&lt;&gt;"Multiple to Multiple")</formula>
    </cfRule>
  </conditionalFormatting>
  <conditionalFormatting sqref="D47">
    <cfRule type="expression" dxfId="13" priority="11">
      <formula>AND($D$28="Right",$D$29=2)</formula>
    </cfRule>
  </conditionalFormatting>
  <conditionalFormatting sqref="D48">
    <cfRule type="expression" dxfId="12" priority="10">
      <formula>AND($D$28="Right",$D$29=3)</formula>
    </cfRule>
  </conditionalFormatting>
  <conditionalFormatting sqref="G6:G8">
    <cfRule type="expression" dxfId="11" priority="2">
      <formula>$D$36="Twisted"</formula>
    </cfRule>
    <cfRule type="expression" dxfId="10" priority="7">
      <formula>($D$27="General")</formula>
    </cfRule>
    <cfRule type="expression" dxfId="9" priority="8">
      <formula>($D$27="Single to Single")</formula>
    </cfRule>
  </conditionalFormatting>
  <conditionalFormatting sqref="G11:G12">
    <cfRule type="expression" dxfId="8" priority="5">
      <formula>($D$27="Single to Single")</formula>
    </cfRule>
    <cfRule type="expression" dxfId="7" priority="6">
      <formula>($D$27="General")</formula>
    </cfRule>
  </conditionalFormatting>
  <conditionalFormatting sqref="G12">
    <cfRule type="expression" dxfId="6" priority="4">
      <formula>($D$27="Multiple to Single")</formula>
    </cfRule>
  </conditionalFormatting>
  <conditionalFormatting sqref="G7:G8">
    <cfRule type="expression" dxfId="5" priority="3">
      <formula>$G$6="No"</formula>
    </cfRule>
  </conditionalFormatting>
  <conditionalFormatting sqref="CD2:CD1048576">
    <cfRule type="cellIs" dxfId="4" priority="1" operator="equal">
      <formula>8421504</formula>
    </cfRule>
  </conditionalFormatting>
  <dataValidations count="11">
    <dataValidation type="list" allowBlank="1" showInputMessage="1" showErrorMessage="1" sqref="I7:J10" xr:uid="{83CDB6AE-99EB-4FD6-AB1F-B31F72AA2DC9}">
      <formula1>WireRouteList</formula1>
    </dataValidation>
    <dataValidation type="list" allowBlank="1" showInputMessage="1" showErrorMessage="1" sqref="D36" xr:uid="{22505137-18C3-4B52-A90D-C073F2D697DE}">
      <formula1>WireTwistTypeList</formula1>
    </dataValidation>
    <dataValidation type="list" allowBlank="1" showInputMessage="1" showErrorMessage="1" sqref="D8" xr:uid="{B2EB7FA9-29C8-44A9-9D5A-936C147A8AFC}">
      <formula1>CustomerCodeList</formula1>
    </dataValidation>
    <dataValidation type="list" allowBlank="1" showInputMessage="1" showErrorMessage="1" sqref="D13" xr:uid="{95A6667B-D335-44CF-8E38-E829D533E202}">
      <formula1>PackingNoteList</formula1>
    </dataValidation>
    <dataValidation type="list" allowBlank="1" showInputMessage="1" showErrorMessage="1" sqref="D12" xr:uid="{56C32B44-2A97-4150-9CA9-2B20FA17F09A}">
      <formula1>DrawNoteList</formula1>
    </dataValidation>
    <dataValidation type="list" allowBlank="1" showInputMessage="1" showErrorMessage="1" sqref="I13:I15" xr:uid="{4EC2E962-C717-42EA-A186-3F5220DBC7C4}">
      <formula1>Single_to_Single</formula1>
    </dataValidation>
    <dataValidation type="list" allowBlank="1" showInputMessage="1" showErrorMessage="1" sqref="D11 N6" xr:uid="{59F7DC4E-58F0-4671-94FC-10166B184E7D}">
      <formula1>DrawingSizeList</formula1>
    </dataValidation>
    <dataValidation type="list" allowBlank="1" showInputMessage="1" showErrorMessage="1" sqref="D9 D15:D16" xr:uid="{717741A8-5687-4E1F-AF3A-0EAA5F22EB3C}">
      <formula1>DrawingOptionList</formula1>
    </dataValidation>
    <dataValidation type="list" allowBlank="1" showInputMessage="1" showErrorMessage="1" sqref="D28" xr:uid="{B87B0B70-0765-48C9-8992-80CA4479F3A2}">
      <formula1>CableHarnessSideList</formula1>
    </dataValidation>
    <dataValidation type="list" allowBlank="1" showInputMessage="1" showErrorMessage="1" sqref="G6" xr:uid="{EA6D1DED-9DB4-4420-A903-73E762052A57}">
      <formula1>YesAndNo</formula1>
    </dataValidation>
    <dataValidation type="list" allowBlank="1" showInputMessage="1" showErrorMessage="1" sqref="D27" xr:uid="{AE427DDE-EA7C-434A-AF56-861BB0D4EDAC}">
      <formula1>CableHarnessTypeList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isplayLegend">
              <controlPr defaultSize="0" print="0" autoFill="0" autoPict="0" macro="[1]!DisplayLegend_Click">
                <anchor moveWithCells="1" sizeWithCells="1">
                  <from>
                    <xdr:col>8</xdr:col>
                    <xdr:colOff>1009650</xdr:colOff>
                    <xdr:row>1</xdr:row>
                    <xdr:rowOff>247650</xdr:rowOff>
                  </from>
                  <to>
                    <xdr:col>11</xdr:col>
                    <xdr:colOff>200025</xdr:colOff>
                    <xdr:row>1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utton16_Click">
                <anchor moveWithCells="1" sizeWithCells="1">
                  <from>
                    <xdr:col>3</xdr:col>
                    <xdr:colOff>742950</xdr:colOff>
                    <xdr:row>1</xdr:row>
                    <xdr:rowOff>323850</xdr:rowOff>
                  </from>
                  <to>
                    <xdr:col>5</xdr:col>
                    <xdr:colOff>247650</xdr:colOff>
                    <xdr:row>1</xdr:row>
                    <xdr:rowOff>733425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D1B3B-FF8F-4874-8EDD-6BA7B8B46136}">
  <sheetPr codeName="Sheet2"/>
  <dimension ref="A1:K19"/>
  <sheetViews>
    <sheetView zoomScaleNormal="100" workbookViewId="0">
      <selection activeCell="D18" sqref="D18"/>
    </sheetView>
  </sheetViews>
  <sheetFormatPr defaultColWidth="9.140625" defaultRowHeight="15" x14ac:dyDescent="0.25"/>
  <cols>
    <col min="1" max="1" width="18.42578125" style="87" bestFit="1" customWidth="1"/>
    <col min="2" max="2" width="58.140625" style="87" bestFit="1" customWidth="1"/>
    <col min="3" max="3" width="11.42578125" style="87" bestFit="1" customWidth="1"/>
    <col min="4" max="4" width="9.85546875" style="87" bestFit="1" customWidth="1"/>
    <col min="5" max="5" width="12.140625" style="87" bestFit="1" customWidth="1"/>
    <col min="6" max="6" width="5.28515625" style="87" bestFit="1" customWidth="1"/>
    <col min="7" max="7" width="5.7109375" style="87" bestFit="1" customWidth="1"/>
    <col min="8" max="13" width="9.140625" style="87"/>
    <col min="14" max="14" width="9.140625" style="87" customWidth="1"/>
    <col min="15" max="16384" width="9.140625" style="87"/>
  </cols>
  <sheetData>
    <row r="1" spans="1:11" x14ac:dyDescent="0.25">
      <c r="A1" s="87" t="s">
        <v>135</v>
      </c>
      <c r="B1" s="87" t="s">
        <v>136</v>
      </c>
      <c r="C1" s="87" t="s">
        <v>137</v>
      </c>
      <c r="D1" s="87" t="s">
        <v>138</v>
      </c>
      <c r="E1" s="87" t="s">
        <v>139</v>
      </c>
      <c r="K1" s="87">
        <v>7</v>
      </c>
    </row>
    <row r="2" spans="1:11" x14ac:dyDescent="0.25">
      <c r="B2" s="87" t="s">
        <v>140</v>
      </c>
      <c r="C2" s="87">
        <v>1</v>
      </c>
      <c r="D2" s="87">
        <v>1</v>
      </c>
      <c r="E2" s="87" t="s">
        <v>141</v>
      </c>
    </row>
    <row r="3" spans="1:11" x14ac:dyDescent="0.25">
      <c r="B3" s="87" t="s">
        <v>142</v>
      </c>
      <c r="C3" s="87">
        <v>2</v>
      </c>
      <c r="D3" s="87">
        <v>1</v>
      </c>
      <c r="E3" s="87" t="s">
        <v>143</v>
      </c>
    </row>
    <row r="4" spans="1:11" x14ac:dyDescent="0.25">
      <c r="B4" s="87" t="s">
        <v>144</v>
      </c>
      <c r="C4" s="87">
        <v>3</v>
      </c>
      <c r="D4" s="87">
        <v>1</v>
      </c>
      <c r="E4" s="87" t="s">
        <v>143</v>
      </c>
    </row>
    <row r="5" spans="1:11" x14ac:dyDescent="0.25">
      <c r="B5" s="87" t="s">
        <v>145</v>
      </c>
      <c r="C5" s="87">
        <v>4</v>
      </c>
      <c r="D5" s="87">
        <v>1</v>
      </c>
      <c r="E5" s="87" t="s">
        <v>143</v>
      </c>
    </row>
    <row r="6" spans="1:11" x14ac:dyDescent="0.25">
      <c r="B6" s="87" t="s">
        <v>146</v>
      </c>
      <c r="C6" s="87">
        <v>5</v>
      </c>
      <c r="D6" s="87">
        <v>1</v>
      </c>
      <c r="E6" s="87" t="s">
        <v>147</v>
      </c>
    </row>
    <row r="7" spans="1:11" x14ac:dyDescent="0.25">
      <c r="B7" s="87" t="s">
        <v>148</v>
      </c>
      <c r="C7" s="87">
        <v>6</v>
      </c>
      <c r="D7" s="87">
        <v>1</v>
      </c>
      <c r="E7" s="87" t="s">
        <v>143</v>
      </c>
    </row>
    <row r="19" spans="3:3" x14ac:dyDescent="0.25">
      <c r="C19" s="88"/>
    </row>
  </sheetData>
  <dataValidations count="6">
    <dataValidation type="list" allowBlank="1" showInputMessage="1" showErrorMessage="1" sqref="E2:E7" xr:uid="{587009CC-1CC8-41B9-BABE-B1706E3A2A84}">
      <formula1>INDIRECT($DB$1)</formula1>
    </dataValidation>
    <dataValidation type="list" allowBlank="1" showInputMessage="1" showErrorMessage="1" sqref="K9" xr:uid="{033A8BE8-5A88-4515-9BC3-A655132DF7E0}">
      <formula1>"INDIRECT($P$1)"</formula1>
    </dataValidation>
    <dataValidation type="list" allowBlank="1" showInputMessage="1" showErrorMessage="1" sqref="K7" xr:uid="{2F1B5327-3094-4139-B274-DE606F7705F5}">
      <formula1>"General_Temp"</formula1>
    </dataValidation>
    <dataValidation type="list" allowBlank="1" showInputMessage="1" showErrorMessage="1" sqref="L4" xr:uid="{E5E4AEEC-F325-4EA4-AD52-976241B2FB3D}">
      <formula1>$N$2:$N$6</formula1>
    </dataValidation>
    <dataValidation type="list" allowBlank="1" showInputMessage="1" showErrorMessage="1" sqref="G9:G10 G14 G26:G27 G31 G46:G47 G51" xr:uid="{0DC7111A-D2A9-4F9B-9B3B-50FF81ECE4B4}">
      <formula1>Insert_23PR</formula1>
    </dataValidation>
    <dataValidation type="list" allowBlank="1" showInputMessage="1" showErrorMessage="1" sqref="G7:G8 G11:G13 G24:G25 G28:G30 G44:G45 G48:G50" xr:uid="{2C99A012-9884-4897-856E-064830BFB355}">
      <formula1>Insert_23SR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F1A48-0B0B-4A3A-8379-74160FDACE66}">
  <sheetPr codeName="Sheet12"/>
  <dimension ref="A1:DB23608"/>
  <sheetViews>
    <sheetView tabSelected="1" workbookViewId="0">
      <pane xSplit="3" ySplit="1" topLeftCell="D2" activePane="bottomRight" state="frozen"/>
      <selection activeCell="D18" sqref="D18"/>
      <selection pane="topRight" activeCell="D18" sqref="D18"/>
      <selection pane="bottomLeft" activeCell="D18" sqref="D18"/>
      <selection pane="bottomRight" activeCell="D18" sqref="D18"/>
    </sheetView>
  </sheetViews>
  <sheetFormatPr defaultColWidth="9.140625" defaultRowHeight="15" x14ac:dyDescent="0.25"/>
  <cols>
    <col min="1" max="1" width="18.42578125" style="87" bestFit="1" customWidth="1"/>
    <col min="2" max="2" width="4.85546875" style="87" bestFit="1" customWidth="1"/>
    <col min="3" max="3" width="20.42578125" style="87" customWidth="1"/>
    <col min="4" max="4" width="20.140625" style="87" customWidth="1"/>
    <col min="5" max="5" width="58.140625" style="90" bestFit="1" customWidth="1"/>
    <col min="6" max="6" width="5.28515625" style="87" bestFit="1" customWidth="1"/>
    <col min="7" max="7" width="20.5703125" style="87" customWidth="1"/>
    <col min="8" max="8" width="26.140625" style="87" customWidth="1"/>
    <col min="9" max="9" width="6.7109375" style="87" customWidth="1"/>
    <col min="10" max="12" width="9.140625" style="87"/>
    <col min="13" max="13" width="12.5703125" style="87" customWidth="1"/>
    <col min="14" max="77" width="9.140625" style="87"/>
    <col min="78" max="78" width="9.140625" style="87" customWidth="1"/>
    <col min="79" max="81" width="9.140625" style="87"/>
    <col min="82" max="89" width="9.140625" style="87" customWidth="1"/>
    <col min="90" max="92" width="9.140625" style="87"/>
    <col min="93" max="93" width="9.140625" style="87" customWidth="1"/>
    <col min="94" max="94" width="9.140625" style="87"/>
    <col min="95" max="95" width="9.140625" style="87" customWidth="1"/>
    <col min="96" max="99" width="9.140625" style="87"/>
    <col min="100" max="100" width="22.140625" style="87" customWidth="1"/>
    <col min="101" max="102" width="9.140625" style="87"/>
    <col min="103" max="103" width="9.140625" style="87" customWidth="1"/>
    <col min="104" max="104" width="27.5703125" style="87" customWidth="1"/>
    <col min="105" max="105" width="7.5703125" style="87" customWidth="1"/>
    <col min="106" max="106" width="39.28515625" style="87" customWidth="1"/>
    <col min="107" max="112" width="9.140625" style="87" customWidth="1"/>
    <col min="113" max="16384" width="9.140625" style="87"/>
  </cols>
  <sheetData>
    <row r="1" spans="1:106" x14ac:dyDescent="0.25">
      <c r="A1" s="87" t="s">
        <v>149</v>
      </c>
      <c r="B1" s="87" t="s">
        <v>150</v>
      </c>
      <c r="C1" s="87" t="s">
        <v>151</v>
      </c>
      <c r="D1" s="87" t="s">
        <v>135</v>
      </c>
      <c r="E1" s="87" t="s">
        <v>136</v>
      </c>
      <c r="F1" s="87" t="s">
        <v>137</v>
      </c>
      <c r="G1" s="87" t="s">
        <v>138</v>
      </c>
      <c r="H1" s="87" t="s">
        <v>139</v>
      </c>
      <c r="AZ1" s="87">
        <v>5</v>
      </c>
      <c r="CA1" s="87">
        <f>IFERROR(SEARCH("CABLE",E1),0)</f>
        <v>0</v>
      </c>
      <c r="CC1" s="87">
        <f>IFERROR(SEARCH("LABEL",E1),0)</f>
        <v>0</v>
      </c>
      <c r="CD1" s="87" t="s">
        <v>152</v>
      </c>
      <c r="CE1" s="87">
        <f>IFERROR(SEARCH("PLUG HOUSING",E1),0)</f>
        <v>0</v>
      </c>
      <c r="CF1" s="87" t="s">
        <v>153</v>
      </c>
      <c r="CG1" s="87">
        <f>IFERROR(SEARCH("JACK HOUSING",E1),0)</f>
        <v>0</v>
      </c>
      <c r="CH1" s="87" t="s">
        <v>154</v>
      </c>
      <c r="CR1" s="87" t="s">
        <v>155</v>
      </c>
      <c r="CS1" s="87" t="s">
        <v>152</v>
      </c>
      <c r="CT1" s="87" t="s">
        <v>156</v>
      </c>
      <c r="CV1" s="87" t="str">
        <f>CableHarnessType</f>
        <v>Single to Single</v>
      </c>
      <c r="CW1" s="87">
        <f>NumberOfPosition</f>
        <v>0</v>
      </c>
      <c r="CX1" s="87">
        <f>CableHarnessSide</f>
        <v>0</v>
      </c>
      <c r="CZ1" s="87" t="str">
        <f>IF(CV1="General","Table_General",IF(CV1="Single to Single","Table_Single_to_Single",IF(CV1="Multiple to Single","Table_Multiple_to_Single",IF(CV1="Multiple to Multiple","Table_Multiple_to_Multiple",""))))</f>
        <v>Table_Single_to_Single</v>
      </c>
      <c r="DA1" s="87">
        <v>7</v>
      </c>
      <c r="DB1" s="89" t="str">
        <f>IF(CZ1="Table_General","Table_General",IF(CZ1="Table_Single_to_Single","Table_Single_to_Single",IF(CZ1="Table_Multiple_to_Single",CONCATENATE(CZ1,"_POS_",CW1,"_",CX1),IF(CZ1="Table_Multiple_to_Multiple",CONCATENATE(CZ1,"_POS_",CW1),""))))</f>
        <v>Table_Single_to_Single</v>
      </c>
    </row>
    <row r="2" spans="1:106" x14ac:dyDescent="0.25">
      <c r="C2" s="87" t="s">
        <v>154</v>
      </c>
      <c r="E2" s="90" t="s">
        <v>148</v>
      </c>
      <c r="F2" s="87">
        <v>1</v>
      </c>
      <c r="G2" s="87">
        <v>1</v>
      </c>
      <c r="H2" t="s">
        <v>143</v>
      </c>
      <c r="CA2" s="87">
        <f t="shared" ref="CA2:CA15" si="0">IFERROR(SEARCH("CABLE",E2),0)</f>
        <v>0</v>
      </c>
      <c r="CC2" s="87">
        <f t="shared" ref="CC2:CC15" si="1">IFERROR(SEARCH("LABEL",E2),0)</f>
        <v>0</v>
      </c>
      <c r="CE2" s="87">
        <f t="shared" ref="CE2:CE15" si="2">IFERROR(SEARCH("PLUG HOUSING",E2),0)</f>
        <v>0</v>
      </c>
      <c r="CG2" s="87">
        <f t="shared" ref="CG2:CG15" si="3">IFERROR(SEARCH("JACK HOUSING",E2),0)</f>
        <v>1</v>
      </c>
      <c r="CI2" s="87">
        <f t="shared" ref="CI2:CI15" si="4">IFERROR(SEARCH("JACK HOUSING",E2),0)</f>
        <v>1</v>
      </c>
    </row>
    <row r="3" spans="1:106" x14ac:dyDescent="0.25">
      <c r="C3" s="87" t="s">
        <v>157</v>
      </c>
      <c r="E3" s="90" t="s">
        <v>146</v>
      </c>
      <c r="F3" s="87">
        <v>2</v>
      </c>
      <c r="G3" s="87">
        <v>1</v>
      </c>
      <c r="H3" t="s">
        <v>147</v>
      </c>
      <c r="CA3" s="87">
        <f t="shared" si="0"/>
        <v>0</v>
      </c>
      <c r="CC3" s="87">
        <f t="shared" si="1"/>
        <v>0</v>
      </c>
      <c r="CE3" s="87">
        <f t="shared" si="2"/>
        <v>0</v>
      </c>
      <c r="CG3" s="87">
        <f t="shared" si="3"/>
        <v>0</v>
      </c>
      <c r="CI3" s="87">
        <f t="shared" si="4"/>
        <v>0</v>
      </c>
      <c r="CP3" s="87" t="s">
        <v>158</v>
      </c>
    </row>
    <row r="4" spans="1:106" ht="15.75" thickBot="1" x14ac:dyDescent="0.3">
      <c r="C4" s="87" t="s">
        <v>159</v>
      </c>
      <c r="E4" s="90" t="s">
        <v>140</v>
      </c>
      <c r="F4" s="87">
        <v>3</v>
      </c>
      <c r="H4" t="s">
        <v>141</v>
      </c>
      <c r="CA4" s="87">
        <f t="shared" si="0"/>
        <v>9</v>
      </c>
      <c r="CC4" s="87">
        <f t="shared" si="1"/>
        <v>0</v>
      </c>
      <c r="CE4" s="87">
        <f t="shared" si="2"/>
        <v>0</v>
      </c>
      <c r="CG4" s="87">
        <f t="shared" si="3"/>
        <v>0</v>
      </c>
      <c r="CI4" s="87">
        <f t="shared" si="4"/>
        <v>0</v>
      </c>
      <c r="CP4" s="87" t="s">
        <v>160</v>
      </c>
    </row>
    <row r="5" spans="1:106" x14ac:dyDescent="0.25">
      <c r="C5" s="87" t="s">
        <v>161</v>
      </c>
      <c r="F5" s="87">
        <v>4</v>
      </c>
      <c r="H5" t="s">
        <v>143</v>
      </c>
      <c r="J5" s="91"/>
      <c r="K5" s="92"/>
      <c r="L5" s="92"/>
      <c r="M5" s="92"/>
      <c r="N5" s="92"/>
      <c r="O5" s="92"/>
      <c r="P5" s="92"/>
      <c r="Q5" s="92"/>
      <c r="R5" s="93"/>
      <c r="CA5" s="87">
        <f t="shared" si="0"/>
        <v>0</v>
      </c>
      <c r="CC5" s="87">
        <f t="shared" si="1"/>
        <v>0</v>
      </c>
      <c r="CE5" s="87">
        <f t="shared" si="2"/>
        <v>0</v>
      </c>
      <c r="CG5" s="87">
        <f t="shared" si="3"/>
        <v>0</v>
      </c>
      <c r="CI5" s="87">
        <f t="shared" si="4"/>
        <v>0</v>
      </c>
    </row>
    <row r="6" spans="1:106" x14ac:dyDescent="0.25">
      <c r="H6"/>
      <c r="J6" s="94"/>
      <c r="K6" s="28"/>
      <c r="L6" s="28"/>
      <c r="M6" s="28"/>
      <c r="N6" s="28"/>
      <c r="O6" s="28"/>
      <c r="P6" s="28"/>
      <c r="Q6" s="28"/>
      <c r="R6" s="95"/>
      <c r="CA6" s="87">
        <f t="shared" si="0"/>
        <v>0</v>
      </c>
      <c r="CC6" s="87">
        <f t="shared" si="1"/>
        <v>0</v>
      </c>
      <c r="CE6" s="87">
        <f t="shared" si="2"/>
        <v>0</v>
      </c>
      <c r="CG6" s="87">
        <f t="shared" si="3"/>
        <v>0</v>
      </c>
      <c r="CI6" s="87">
        <f t="shared" si="4"/>
        <v>0</v>
      </c>
    </row>
    <row r="7" spans="1:106" x14ac:dyDescent="0.25">
      <c r="H7"/>
      <c r="J7" s="94"/>
      <c r="K7" s="28"/>
      <c r="L7" s="28"/>
      <c r="M7" s="28"/>
      <c r="N7" s="28"/>
      <c r="O7" s="28"/>
      <c r="P7" s="28"/>
      <c r="Q7" s="28"/>
      <c r="R7" s="95"/>
      <c r="CA7" s="87">
        <f t="shared" si="0"/>
        <v>0</v>
      </c>
      <c r="CC7" s="87">
        <f t="shared" si="1"/>
        <v>0</v>
      </c>
      <c r="CE7" s="87">
        <f t="shared" si="2"/>
        <v>0</v>
      </c>
      <c r="CG7" s="87">
        <f t="shared" si="3"/>
        <v>0</v>
      </c>
      <c r="CI7" s="87">
        <f t="shared" si="4"/>
        <v>0</v>
      </c>
    </row>
    <row r="8" spans="1:106" x14ac:dyDescent="0.25">
      <c r="H8"/>
      <c r="J8" s="94"/>
      <c r="K8" s="28"/>
      <c r="L8" s="28"/>
      <c r="M8" s="28"/>
      <c r="N8" s="28"/>
      <c r="O8" s="28"/>
      <c r="P8" s="28"/>
      <c r="Q8" s="28"/>
      <c r="R8" s="95"/>
      <c r="CA8" s="87">
        <f t="shared" si="0"/>
        <v>0</v>
      </c>
      <c r="CC8" s="87">
        <f t="shared" si="1"/>
        <v>0</v>
      </c>
      <c r="CE8" s="87">
        <f t="shared" si="2"/>
        <v>0</v>
      </c>
      <c r="CG8" s="87">
        <f t="shared" si="3"/>
        <v>0</v>
      </c>
      <c r="CI8" s="87">
        <f t="shared" si="4"/>
        <v>0</v>
      </c>
    </row>
    <row r="9" spans="1:106" x14ac:dyDescent="0.25">
      <c r="H9"/>
      <c r="J9" s="94"/>
      <c r="K9" s="28"/>
      <c r="L9" s="28"/>
      <c r="M9" s="28"/>
      <c r="N9" s="28"/>
      <c r="O9" s="28"/>
      <c r="P9" s="28"/>
      <c r="Q9" s="28"/>
      <c r="R9" s="95"/>
      <c r="CA9" s="87">
        <f t="shared" si="0"/>
        <v>0</v>
      </c>
      <c r="CC9" s="87">
        <f t="shared" si="1"/>
        <v>0</v>
      </c>
      <c r="CE9" s="87">
        <f t="shared" si="2"/>
        <v>0</v>
      </c>
      <c r="CG9" s="87">
        <f t="shared" si="3"/>
        <v>0</v>
      </c>
      <c r="CI9" s="87">
        <f t="shared" si="4"/>
        <v>0</v>
      </c>
    </row>
    <row r="10" spans="1:106" x14ac:dyDescent="0.25">
      <c r="H10"/>
      <c r="J10" s="94"/>
      <c r="K10" s="28"/>
      <c r="L10" s="28"/>
      <c r="M10" s="28"/>
      <c r="N10" s="28"/>
      <c r="O10" s="28"/>
      <c r="P10" s="28"/>
      <c r="Q10" s="28"/>
      <c r="R10" s="95"/>
      <c r="CA10" s="87">
        <f t="shared" si="0"/>
        <v>0</v>
      </c>
      <c r="CC10" s="87">
        <f t="shared" si="1"/>
        <v>0</v>
      </c>
      <c r="CE10" s="87">
        <f t="shared" si="2"/>
        <v>0</v>
      </c>
      <c r="CG10" s="87">
        <f t="shared" si="3"/>
        <v>0</v>
      </c>
      <c r="CI10" s="87">
        <f t="shared" si="4"/>
        <v>0</v>
      </c>
      <c r="CP10" s="87" t="s">
        <v>162</v>
      </c>
    </row>
    <row r="11" spans="1:106" x14ac:dyDescent="0.25">
      <c r="H11"/>
      <c r="J11" s="94"/>
      <c r="K11" s="28"/>
      <c r="L11" s="28"/>
      <c r="M11" s="28"/>
      <c r="N11" s="28"/>
      <c r="O11" s="28"/>
      <c r="P11" s="28"/>
      <c r="Q11" s="28"/>
      <c r="R11" s="95"/>
      <c r="CA11" s="87">
        <f t="shared" si="0"/>
        <v>0</v>
      </c>
      <c r="CC11" s="87">
        <f t="shared" si="1"/>
        <v>0</v>
      </c>
      <c r="CE11" s="87">
        <f t="shared" si="2"/>
        <v>0</v>
      </c>
      <c r="CG11" s="87">
        <f t="shared" si="3"/>
        <v>0</v>
      </c>
      <c r="CI11" s="87">
        <f t="shared" si="4"/>
        <v>0</v>
      </c>
    </row>
    <row r="12" spans="1:106" x14ac:dyDescent="0.25">
      <c r="H12"/>
      <c r="J12" s="94"/>
      <c r="K12" s="28"/>
      <c r="L12" s="28"/>
      <c r="M12" s="28"/>
      <c r="N12" s="28"/>
      <c r="O12" s="28"/>
      <c r="P12" s="28"/>
      <c r="Q12" s="28"/>
      <c r="R12" s="95"/>
      <c r="CA12" s="87">
        <f t="shared" si="0"/>
        <v>0</v>
      </c>
      <c r="CC12" s="87">
        <f t="shared" si="1"/>
        <v>0</v>
      </c>
      <c r="CE12" s="87">
        <f t="shared" si="2"/>
        <v>0</v>
      </c>
      <c r="CG12" s="87">
        <f t="shared" si="3"/>
        <v>0</v>
      </c>
      <c r="CI12" s="87">
        <f t="shared" si="4"/>
        <v>0</v>
      </c>
    </row>
    <row r="13" spans="1:106" x14ac:dyDescent="0.25">
      <c r="H13"/>
      <c r="J13" s="94"/>
      <c r="K13" s="28"/>
      <c r="L13" s="28"/>
      <c r="M13" s="28"/>
      <c r="N13" s="28"/>
      <c r="O13" s="28"/>
      <c r="P13" s="28"/>
      <c r="Q13" s="28"/>
      <c r="R13" s="95"/>
      <c r="CA13" s="87">
        <f t="shared" si="0"/>
        <v>0</v>
      </c>
      <c r="CC13" s="87">
        <f t="shared" si="1"/>
        <v>0</v>
      </c>
      <c r="CE13" s="87">
        <f t="shared" si="2"/>
        <v>0</v>
      </c>
      <c r="CG13" s="87">
        <f t="shared" si="3"/>
        <v>0</v>
      </c>
      <c r="CI13" s="87">
        <f t="shared" si="4"/>
        <v>0</v>
      </c>
    </row>
    <row r="14" spans="1:106" x14ac:dyDescent="0.25">
      <c r="H14"/>
      <c r="J14" s="94"/>
      <c r="K14" s="28"/>
      <c r="L14" s="28"/>
      <c r="M14" s="28"/>
      <c r="N14" s="28"/>
      <c r="O14" s="28"/>
      <c r="P14" s="28"/>
      <c r="Q14" s="28"/>
      <c r="R14" s="95"/>
      <c r="CA14" s="87">
        <f t="shared" si="0"/>
        <v>0</v>
      </c>
      <c r="CC14" s="87">
        <f t="shared" si="1"/>
        <v>0</v>
      </c>
      <c r="CE14" s="87">
        <f t="shared" si="2"/>
        <v>0</v>
      </c>
      <c r="CG14" s="87">
        <f t="shared" si="3"/>
        <v>0</v>
      </c>
      <c r="CI14" s="87">
        <f t="shared" si="4"/>
        <v>0</v>
      </c>
      <c r="CP14" s="87" t="s">
        <v>163</v>
      </c>
    </row>
    <row r="15" spans="1:106" x14ac:dyDescent="0.25">
      <c r="H15"/>
      <c r="J15" s="94"/>
      <c r="K15" s="28"/>
      <c r="L15" s="28"/>
      <c r="M15" s="28"/>
      <c r="N15" s="28"/>
      <c r="O15" s="28"/>
      <c r="P15" s="28"/>
      <c r="Q15" s="28"/>
      <c r="R15" s="95"/>
      <c r="CA15" s="87">
        <f t="shared" si="0"/>
        <v>0</v>
      </c>
      <c r="CC15" s="87">
        <f t="shared" si="1"/>
        <v>0</v>
      </c>
      <c r="CE15" s="87">
        <f t="shared" si="2"/>
        <v>0</v>
      </c>
      <c r="CG15" s="87">
        <f t="shared" si="3"/>
        <v>0</v>
      </c>
      <c r="CI15" s="87">
        <f t="shared" si="4"/>
        <v>0</v>
      </c>
    </row>
    <row r="16" spans="1:106" x14ac:dyDescent="0.25">
      <c r="H16"/>
      <c r="J16" s="94"/>
      <c r="K16" s="28"/>
      <c r="L16" s="28"/>
      <c r="M16" s="28"/>
      <c r="N16" s="28"/>
      <c r="O16" s="28"/>
      <c r="P16" s="28"/>
      <c r="Q16" s="28"/>
      <c r="R16" s="95"/>
    </row>
    <row r="17" spans="8:106" x14ac:dyDescent="0.25">
      <c r="H17"/>
      <c r="J17" s="94"/>
      <c r="K17" s="28"/>
      <c r="L17" s="28"/>
      <c r="M17" s="28"/>
      <c r="N17" s="28"/>
      <c r="O17" s="28"/>
      <c r="P17" s="28"/>
      <c r="Q17" s="28"/>
      <c r="R17" s="95"/>
    </row>
    <row r="18" spans="8:106" x14ac:dyDescent="0.25">
      <c r="H18"/>
      <c r="J18" s="94"/>
      <c r="K18" s="28"/>
      <c r="L18" s="28"/>
      <c r="M18" s="28"/>
      <c r="N18" s="28"/>
      <c r="O18" s="28"/>
      <c r="P18" s="28"/>
      <c r="Q18" s="28"/>
      <c r="R18" s="95"/>
    </row>
    <row r="19" spans="8:106" x14ac:dyDescent="0.25">
      <c r="H19"/>
      <c r="J19" s="94"/>
      <c r="K19" s="28"/>
      <c r="L19" s="28"/>
      <c r="M19" s="28"/>
      <c r="N19" s="28"/>
      <c r="O19" s="28"/>
      <c r="P19" s="28"/>
      <c r="Q19" s="28"/>
      <c r="R19" s="95"/>
    </row>
    <row r="20" spans="8:106" x14ac:dyDescent="0.25">
      <c r="H20"/>
      <c r="J20" s="94"/>
      <c r="K20" s="28"/>
      <c r="L20" s="28"/>
      <c r="M20" s="28"/>
      <c r="N20" s="28"/>
      <c r="O20" s="28"/>
      <c r="P20" s="28"/>
      <c r="Q20" s="28"/>
      <c r="R20" s="95"/>
    </row>
    <row r="21" spans="8:106" x14ac:dyDescent="0.25">
      <c r="H21"/>
      <c r="J21" s="94"/>
      <c r="K21" s="28"/>
      <c r="L21" s="28"/>
      <c r="M21" s="28"/>
      <c r="N21" s="28"/>
      <c r="O21" s="28"/>
      <c r="P21" s="28"/>
      <c r="Q21" s="28"/>
      <c r="R21" s="95"/>
    </row>
    <row r="22" spans="8:106" x14ac:dyDescent="0.25">
      <c r="H22"/>
      <c r="J22" s="94"/>
      <c r="K22" s="28"/>
      <c r="L22" s="28"/>
      <c r="M22" s="28"/>
      <c r="N22" s="28"/>
      <c r="O22" s="28"/>
      <c r="P22" s="28"/>
      <c r="Q22" s="28"/>
      <c r="R22" s="95"/>
    </row>
    <row r="23" spans="8:106" ht="15.75" thickBot="1" x14ac:dyDescent="0.3">
      <c r="H23"/>
      <c r="J23" s="96"/>
      <c r="K23" s="97"/>
      <c r="L23" s="97"/>
      <c r="M23" s="97"/>
      <c r="N23" s="97"/>
      <c r="O23" s="97"/>
      <c r="P23" s="97"/>
      <c r="Q23" s="97"/>
      <c r="R23" s="98"/>
    </row>
    <row r="24" spans="8:106" x14ac:dyDescent="0.25">
      <c r="H24"/>
    </row>
    <row r="28" spans="8:106" x14ac:dyDescent="0.25">
      <c r="DB28"/>
    </row>
    <row r="23608" spans="8:8" x14ac:dyDescent="0.25">
      <c r="H23608" s="99"/>
    </row>
  </sheetData>
  <dataValidations count="5">
    <dataValidation type="list" allowBlank="1" showInputMessage="1" showErrorMessage="1" sqref="CA2:CA25 H17:H24 H2:H15" xr:uid="{7C52CD5C-23C3-470E-8FC4-19F02FCE522A}">
      <formula1>INDIRECT($DB$1)</formula1>
    </dataValidation>
    <dataValidation type="list" allowBlank="1" showInputMessage="1" showErrorMessage="1" sqref="DK2" xr:uid="{9C864172-BA82-4779-8097-83FDD7118708}">
      <formula1>"INDIRECT(Positions_General)"</formula1>
    </dataValidation>
    <dataValidation type="list" allowBlank="1" showInputMessage="1" showErrorMessage="1" sqref="CW11:CX11" xr:uid="{6FF112A1-BD0F-4A03-B646-DD0C0E40F548}">
      <formula1>"INDIRECT($CY$1)"</formula1>
    </dataValidation>
    <dataValidation type="list" allowBlank="1" showInputMessage="1" showErrorMessage="1" sqref="DB11" xr:uid="{BC951091-4556-4002-9004-07A7FBA3C5C8}">
      <formula1>INDIRECT(DB1)</formula1>
    </dataValidation>
    <dataValidation type="list" showInputMessage="1" showErrorMessage="1" sqref="DB9" xr:uid="{815A0659-B6D4-44CE-A3A0-BF43BD14AAB3}">
      <formula1>$CZ$1:$CZ$10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4172B-9EFD-4E9B-850D-40D182350D6C}">
  <sheetPr codeName="Sheet8"/>
  <dimension ref="E1:DA15"/>
  <sheetViews>
    <sheetView workbookViewId="0">
      <selection activeCell="D18" sqref="D18"/>
    </sheetView>
  </sheetViews>
  <sheetFormatPr defaultColWidth="9.140625" defaultRowHeight="15" x14ac:dyDescent="0.25"/>
  <cols>
    <col min="1" max="1" width="18.42578125" style="87" bestFit="1" customWidth="1"/>
    <col min="2" max="2" width="4.85546875" style="87" bestFit="1" customWidth="1"/>
    <col min="3" max="3" width="11.42578125" style="87" bestFit="1" customWidth="1"/>
    <col min="4" max="4" width="9.85546875" style="87" bestFit="1" customWidth="1"/>
    <col min="5" max="5" width="39.42578125" style="87" bestFit="1" customWidth="1"/>
    <col min="6" max="6" width="5.28515625" style="87" bestFit="1" customWidth="1"/>
    <col min="7" max="7" width="5.7109375" style="87" bestFit="1" customWidth="1"/>
    <col min="8" max="16384" width="9.140625" style="87"/>
  </cols>
  <sheetData>
    <row r="1" spans="5:105" x14ac:dyDescent="0.25">
      <c r="K1" s="87">
        <v>1</v>
      </c>
      <c r="DA1" s="87">
        <v>12</v>
      </c>
    </row>
    <row r="2" spans="5:105" x14ac:dyDescent="0.25">
      <c r="E2" s="90"/>
    </row>
    <row r="3" spans="5:105" x14ac:dyDescent="0.25">
      <c r="E3" s="90"/>
    </row>
    <row r="4" spans="5:105" x14ac:dyDescent="0.25">
      <c r="E4" s="90"/>
    </row>
    <row r="5" spans="5:105" x14ac:dyDescent="0.25">
      <c r="E5" s="90"/>
    </row>
    <row r="6" spans="5:105" x14ac:dyDescent="0.25">
      <c r="E6" s="90"/>
    </row>
    <row r="7" spans="5:105" x14ac:dyDescent="0.25">
      <c r="E7" s="90"/>
    </row>
    <row r="8" spans="5:105" x14ac:dyDescent="0.25">
      <c r="E8" s="90"/>
    </row>
    <row r="9" spans="5:105" x14ac:dyDescent="0.25">
      <c r="E9" s="90"/>
    </row>
    <row r="10" spans="5:105" x14ac:dyDescent="0.25">
      <c r="E10" s="90"/>
    </row>
    <row r="11" spans="5:105" x14ac:dyDescent="0.25">
      <c r="E11" s="90"/>
    </row>
    <row r="12" spans="5:105" x14ac:dyDescent="0.25">
      <c r="E12" s="90"/>
    </row>
    <row r="13" spans="5:105" x14ac:dyDescent="0.25">
      <c r="E13" s="90"/>
    </row>
    <row r="14" spans="5:105" x14ac:dyDescent="0.25">
      <c r="E14" s="90"/>
    </row>
    <row r="15" spans="5:105" x14ac:dyDescent="0.25">
      <c r="E15" s="9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FD14F-5106-48A7-8B08-15A83D745BA8}">
  <sheetPr codeName="Sheet5"/>
  <dimension ref="A1:DA535"/>
  <sheetViews>
    <sheetView workbookViewId="0">
      <pane xSplit="1" ySplit="1" topLeftCell="B2" activePane="bottomRight" state="frozen"/>
      <selection activeCell="D18" sqref="D18"/>
      <selection pane="topRight" activeCell="D18" sqref="D18"/>
      <selection pane="bottomLeft" activeCell="D18" sqref="D18"/>
      <selection pane="bottomRight" activeCell="D18" sqref="D18"/>
    </sheetView>
  </sheetViews>
  <sheetFormatPr defaultRowHeight="15" x14ac:dyDescent="0.25"/>
  <cols>
    <col min="1" max="1" width="8.85546875" style="101"/>
    <col min="2" max="2" width="15.140625" style="102" customWidth="1"/>
    <col min="3" max="5" width="12.28515625" style="101" customWidth="1"/>
  </cols>
  <sheetData>
    <row r="1" spans="1:105" ht="21" customHeight="1" x14ac:dyDescent="0.25">
      <c r="A1" s="100"/>
      <c r="B1" s="100" t="s">
        <v>139</v>
      </c>
      <c r="C1" s="100" t="s">
        <v>164</v>
      </c>
      <c r="D1" s="100" t="s">
        <v>165</v>
      </c>
      <c r="E1" s="100" t="s">
        <v>166</v>
      </c>
      <c r="K1">
        <v>1</v>
      </c>
      <c r="DA1">
        <v>1</v>
      </c>
    </row>
    <row r="2" spans="1:105" ht="21" customHeight="1" x14ac:dyDescent="0.25">
      <c r="A2" s="101">
        <v>1</v>
      </c>
    </row>
    <row r="3" spans="1:105" ht="21" customHeight="1" x14ac:dyDescent="0.25"/>
    <row r="4" spans="1:105" ht="21" customHeight="1" x14ac:dyDescent="0.25"/>
    <row r="5" spans="1:105" ht="21" customHeight="1" x14ac:dyDescent="0.25"/>
    <row r="6" spans="1:105" ht="21" customHeight="1" x14ac:dyDescent="0.25"/>
    <row r="7" spans="1:105" ht="21" customHeight="1" x14ac:dyDescent="0.25"/>
    <row r="8" spans="1:105" ht="21" customHeight="1" x14ac:dyDescent="0.25"/>
    <row r="9" spans="1:105" ht="21" customHeight="1" x14ac:dyDescent="0.25"/>
    <row r="10" spans="1:105" ht="21" customHeight="1" x14ac:dyDescent="0.25"/>
    <row r="11" spans="1:105" ht="21" customHeight="1" x14ac:dyDescent="0.25"/>
    <row r="12" spans="1:105" ht="21" customHeight="1" x14ac:dyDescent="0.25">
      <c r="A12" s="101" t="str">
        <f>IF(B12&lt;&gt;"",A11+1,"")</f>
        <v/>
      </c>
    </row>
    <row r="13" spans="1:105" ht="21" customHeight="1" x14ac:dyDescent="0.25"/>
    <row r="14" spans="1:105" ht="21" customHeight="1" x14ac:dyDescent="0.25"/>
    <row r="15" spans="1:105" ht="21" customHeight="1" x14ac:dyDescent="0.25"/>
    <row r="16" spans="1:105" ht="21" customHeight="1" x14ac:dyDescent="0.25"/>
    <row r="17" spans="1:1" ht="21" customHeight="1" x14ac:dyDescent="0.25">
      <c r="A17" s="101" t="str">
        <f t="shared" ref="A17:A80" si="0">IF(B17&lt;&gt;"",A16+1,"")</f>
        <v/>
      </c>
    </row>
    <row r="18" spans="1:1" ht="21" customHeight="1" x14ac:dyDescent="0.25">
      <c r="A18" s="101" t="str">
        <f t="shared" si="0"/>
        <v/>
      </c>
    </row>
    <row r="19" spans="1:1" ht="21" customHeight="1" x14ac:dyDescent="0.25">
      <c r="A19" s="101" t="str">
        <f t="shared" si="0"/>
        <v/>
      </c>
    </row>
    <row r="20" spans="1:1" ht="21" customHeight="1" x14ac:dyDescent="0.25">
      <c r="A20" s="101" t="str">
        <f t="shared" si="0"/>
        <v/>
      </c>
    </row>
    <row r="21" spans="1:1" ht="21" customHeight="1" x14ac:dyDescent="0.25">
      <c r="A21" s="101" t="str">
        <f t="shared" si="0"/>
        <v/>
      </c>
    </row>
    <row r="22" spans="1:1" ht="21" customHeight="1" x14ac:dyDescent="0.25">
      <c r="A22" s="101" t="str">
        <f t="shared" si="0"/>
        <v/>
      </c>
    </row>
    <row r="23" spans="1:1" ht="21" customHeight="1" x14ac:dyDescent="0.25">
      <c r="A23" s="101" t="str">
        <f t="shared" si="0"/>
        <v/>
      </c>
    </row>
    <row r="24" spans="1:1" ht="21" customHeight="1" x14ac:dyDescent="0.25">
      <c r="A24" s="101" t="str">
        <f t="shared" si="0"/>
        <v/>
      </c>
    </row>
    <row r="25" spans="1:1" ht="21" customHeight="1" x14ac:dyDescent="0.25">
      <c r="A25" s="101" t="str">
        <f t="shared" si="0"/>
        <v/>
      </c>
    </row>
    <row r="26" spans="1:1" ht="21" customHeight="1" x14ac:dyDescent="0.25">
      <c r="A26" s="101" t="str">
        <f t="shared" si="0"/>
        <v/>
      </c>
    </row>
    <row r="27" spans="1:1" ht="21" customHeight="1" x14ac:dyDescent="0.25">
      <c r="A27" s="101" t="str">
        <f t="shared" si="0"/>
        <v/>
      </c>
    </row>
    <row r="28" spans="1:1" ht="21" customHeight="1" x14ac:dyDescent="0.25">
      <c r="A28" s="101" t="str">
        <f t="shared" si="0"/>
        <v/>
      </c>
    </row>
    <row r="29" spans="1:1" ht="21" customHeight="1" x14ac:dyDescent="0.25">
      <c r="A29" s="101" t="str">
        <f t="shared" si="0"/>
        <v/>
      </c>
    </row>
    <row r="30" spans="1:1" ht="21" customHeight="1" x14ac:dyDescent="0.25">
      <c r="A30" s="101" t="str">
        <f t="shared" si="0"/>
        <v/>
      </c>
    </row>
    <row r="31" spans="1:1" ht="21" customHeight="1" x14ac:dyDescent="0.25">
      <c r="A31" s="101" t="str">
        <f t="shared" si="0"/>
        <v/>
      </c>
    </row>
    <row r="32" spans="1:1" ht="21" customHeight="1" x14ac:dyDescent="0.25">
      <c r="A32" s="101" t="str">
        <f t="shared" si="0"/>
        <v/>
      </c>
    </row>
    <row r="33" spans="1:1" ht="21" customHeight="1" x14ac:dyDescent="0.25">
      <c r="A33" s="101" t="str">
        <f t="shared" si="0"/>
        <v/>
      </c>
    </row>
    <row r="34" spans="1:1" ht="21" customHeight="1" x14ac:dyDescent="0.25">
      <c r="A34" s="101" t="str">
        <f t="shared" si="0"/>
        <v/>
      </c>
    </row>
    <row r="35" spans="1:1" ht="21" customHeight="1" x14ac:dyDescent="0.25">
      <c r="A35" s="101" t="str">
        <f t="shared" si="0"/>
        <v/>
      </c>
    </row>
    <row r="36" spans="1:1" ht="21" customHeight="1" x14ac:dyDescent="0.25">
      <c r="A36" s="101" t="str">
        <f t="shared" si="0"/>
        <v/>
      </c>
    </row>
    <row r="37" spans="1:1" ht="21" customHeight="1" x14ac:dyDescent="0.25">
      <c r="A37" s="101" t="str">
        <f t="shared" si="0"/>
        <v/>
      </c>
    </row>
    <row r="38" spans="1:1" ht="21" customHeight="1" x14ac:dyDescent="0.25">
      <c r="A38" s="101" t="str">
        <f t="shared" si="0"/>
        <v/>
      </c>
    </row>
    <row r="39" spans="1:1" ht="21" customHeight="1" x14ac:dyDescent="0.25">
      <c r="A39" s="101" t="str">
        <f t="shared" si="0"/>
        <v/>
      </c>
    </row>
    <row r="40" spans="1:1" ht="21" customHeight="1" x14ac:dyDescent="0.25">
      <c r="A40" s="101" t="str">
        <f t="shared" si="0"/>
        <v/>
      </c>
    </row>
    <row r="41" spans="1:1" ht="21" customHeight="1" x14ac:dyDescent="0.25">
      <c r="A41" s="101" t="str">
        <f t="shared" si="0"/>
        <v/>
      </c>
    </row>
    <row r="42" spans="1:1" ht="21" customHeight="1" x14ac:dyDescent="0.25">
      <c r="A42" s="101" t="str">
        <f t="shared" si="0"/>
        <v/>
      </c>
    </row>
    <row r="43" spans="1:1" ht="21" customHeight="1" x14ac:dyDescent="0.25">
      <c r="A43" s="101" t="str">
        <f t="shared" si="0"/>
        <v/>
      </c>
    </row>
    <row r="44" spans="1:1" ht="21" customHeight="1" x14ac:dyDescent="0.25">
      <c r="A44" s="101" t="str">
        <f t="shared" si="0"/>
        <v/>
      </c>
    </row>
    <row r="45" spans="1:1" ht="21" customHeight="1" x14ac:dyDescent="0.25">
      <c r="A45" s="101" t="str">
        <f t="shared" si="0"/>
        <v/>
      </c>
    </row>
    <row r="46" spans="1:1" ht="21" customHeight="1" x14ac:dyDescent="0.25">
      <c r="A46" s="101" t="str">
        <f t="shared" si="0"/>
        <v/>
      </c>
    </row>
    <row r="47" spans="1:1" ht="21" customHeight="1" x14ac:dyDescent="0.25">
      <c r="A47" s="101" t="str">
        <f t="shared" si="0"/>
        <v/>
      </c>
    </row>
    <row r="48" spans="1:1" ht="21" customHeight="1" x14ac:dyDescent="0.25">
      <c r="A48" s="101" t="str">
        <f t="shared" si="0"/>
        <v/>
      </c>
    </row>
    <row r="49" spans="1:1" ht="21" customHeight="1" x14ac:dyDescent="0.25">
      <c r="A49" s="101" t="str">
        <f t="shared" si="0"/>
        <v/>
      </c>
    </row>
    <row r="50" spans="1:1" ht="21" customHeight="1" x14ac:dyDescent="0.25">
      <c r="A50" s="101" t="str">
        <f t="shared" si="0"/>
        <v/>
      </c>
    </row>
    <row r="51" spans="1:1" ht="21" customHeight="1" x14ac:dyDescent="0.25">
      <c r="A51" s="101" t="str">
        <f t="shared" si="0"/>
        <v/>
      </c>
    </row>
    <row r="52" spans="1:1" ht="21" customHeight="1" x14ac:dyDescent="0.25">
      <c r="A52" s="101" t="str">
        <f t="shared" si="0"/>
        <v/>
      </c>
    </row>
    <row r="53" spans="1:1" ht="21" customHeight="1" x14ac:dyDescent="0.25">
      <c r="A53" s="101" t="str">
        <f t="shared" si="0"/>
        <v/>
      </c>
    </row>
    <row r="54" spans="1:1" ht="21" customHeight="1" x14ac:dyDescent="0.25">
      <c r="A54" s="101" t="str">
        <f t="shared" si="0"/>
        <v/>
      </c>
    </row>
    <row r="55" spans="1:1" ht="21" customHeight="1" x14ac:dyDescent="0.25">
      <c r="A55" s="101" t="str">
        <f t="shared" si="0"/>
        <v/>
      </c>
    </row>
    <row r="56" spans="1:1" ht="21" customHeight="1" x14ac:dyDescent="0.25">
      <c r="A56" s="101" t="str">
        <f t="shared" si="0"/>
        <v/>
      </c>
    </row>
    <row r="57" spans="1:1" ht="21" customHeight="1" x14ac:dyDescent="0.25">
      <c r="A57" s="101" t="str">
        <f t="shared" si="0"/>
        <v/>
      </c>
    </row>
    <row r="58" spans="1:1" ht="21" customHeight="1" x14ac:dyDescent="0.25">
      <c r="A58" s="101" t="str">
        <f t="shared" si="0"/>
        <v/>
      </c>
    </row>
    <row r="59" spans="1:1" ht="21" customHeight="1" x14ac:dyDescent="0.25">
      <c r="A59" s="101" t="str">
        <f t="shared" si="0"/>
        <v/>
      </c>
    </row>
    <row r="60" spans="1:1" ht="21" customHeight="1" x14ac:dyDescent="0.25">
      <c r="A60" s="101" t="str">
        <f t="shared" si="0"/>
        <v/>
      </c>
    </row>
    <row r="61" spans="1:1" ht="21" customHeight="1" x14ac:dyDescent="0.25">
      <c r="A61" s="101" t="str">
        <f t="shared" si="0"/>
        <v/>
      </c>
    </row>
    <row r="62" spans="1:1" ht="21" customHeight="1" x14ac:dyDescent="0.25">
      <c r="A62" s="101" t="str">
        <f t="shared" si="0"/>
        <v/>
      </c>
    </row>
    <row r="63" spans="1:1" ht="21" customHeight="1" x14ac:dyDescent="0.25">
      <c r="A63" s="101" t="str">
        <f t="shared" si="0"/>
        <v/>
      </c>
    </row>
    <row r="64" spans="1:1" ht="21" customHeight="1" x14ac:dyDescent="0.25">
      <c r="A64" s="101" t="str">
        <f t="shared" si="0"/>
        <v/>
      </c>
    </row>
    <row r="65" spans="1:1" ht="21" customHeight="1" x14ac:dyDescent="0.25">
      <c r="A65" s="101" t="str">
        <f t="shared" si="0"/>
        <v/>
      </c>
    </row>
    <row r="66" spans="1:1" ht="21" customHeight="1" x14ac:dyDescent="0.25">
      <c r="A66" s="101" t="str">
        <f t="shared" si="0"/>
        <v/>
      </c>
    </row>
    <row r="67" spans="1:1" ht="21" customHeight="1" x14ac:dyDescent="0.25">
      <c r="A67" s="101" t="str">
        <f t="shared" si="0"/>
        <v/>
      </c>
    </row>
    <row r="68" spans="1:1" ht="21" customHeight="1" x14ac:dyDescent="0.25">
      <c r="A68" s="101" t="str">
        <f t="shared" si="0"/>
        <v/>
      </c>
    </row>
    <row r="69" spans="1:1" ht="21" customHeight="1" x14ac:dyDescent="0.25">
      <c r="A69" s="101" t="str">
        <f t="shared" si="0"/>
        <v/>
      </c>
    </row>
    <row r="70" spans="1:1" ht="21" customHeight="1" x14ac:dyDescent="0.25">
      <c r="A70" s="101" t="str">
        <f t="shared" si="0"/>
        <v/>
      </c>
    </row>
    <row r="71" spans="1:1" ht="21" customHeight="1" x14ac:dyDescent="0.25">
      <c r="A71" s="101" t="str">
        <f t="shared" si="0"/>
        <v/>
      </c>
    </row>
    <row r="72" spans="1:1" ht="21" customHeight="1" x14ac:dyDescent="0.25">
      <c r="A72" s="101" t="str">
        <f t="shared" si="0"/>
        <v/>
      </c>
    </row>
    <row r="73" spans="1:1" ht="21" customHeight="1" x14ac:dyDescent="0.25">
      <c r="A73" s="101" t="str">
        <f t="shared" si="0"/>
        <v/>
      </c>
    </row>
    <row r="74" spans="1:1" ht="21" customHeight="1" x14ac:dyDescent="0.25">
      <c r="A74" s="101" t="str">
        <f t="shared" si="0"/>
        <v/>
      </c>
    </row>
    <row r="75" spans="1:1" ht="21" customHeight="1" x14ac:dyDescent="0.25">
      <c r="A75" s="101" t="str">
        <f t="shared" si="0"/>
        <v/>
      </c>
    </row>
    <row r="76" spans="1:1" ht="21" customHeight="1" x14ac:dyDescent="0.25">
      <c r="A76" s="101" t="str">
        <f t="shared" si="0"/>
        <v/>
      </c>
    </row>
    <row r="77" spans="1:1" ht="21" customHeight="1" x14ac:dyDescent="0.25">
      <c r="A77" s="101" t="str">
        <f t="shared" si="0"/>
        <v/>
      </c>
    </row>
    <row r="78" spans="1:1" ht="21" customHeight="1" x14ac:dyDescent="0.25">
      <c r="A78" s="101" t="str">
        <f t="shared" si="0"/>
        <v/>
      </c>
    </row>
    <row r="79" spans="1:1" ht="21" customHeight="1" x14ac:dyDescent="0.25">
      <c r="A79" s="101" t="str">
        <f t="shared" si="0"/>
        <v/>
      </c>
    </row>
    <row r="80" spans="1:1" ht="21" customHeight="1" x14ac:dyDescent="0.25">
      <c r="A80" s="101" t="str">
        <f t="shared" si="0"/>
        <v/>
      </c>
    </row>
    <row r="81" spans="1:1" ht="21" customHeight="1" x14ac:dyDescent="0.25">
      <c r="A81" s="101" t="str">
        <f t="shared" ref="A81:A144" si="1">IF(B81&lt;&gt;"",A80+1,"")</f>
        <v/>
      </c>
    </row>
    <row r="82" spans="1:1" ht="21" customHeight="1" x14ac:dyDescent="0.25">
      <c r="A82" s="101" t="str">
        <f t="shared" si="1"/>
        <v/>
      </c>
    </row>
    <row r="83" spans="1:1" ht="21" customHeight="1" x14ac:dyDescent="0.25">
      <c r="A83" s="101" t="str">
        <f t="shared" si="1"/>
        <v/>
      </c>
    </row>
    <row r="84" spans="1:1" ht="21" customHeight="1" x14ac:dyDescent="0.25">
      <c r="A84" s="101" t="str">
        <f t="shared" si="1"/>
        <v/>
      </c>
    </row>
    <row r="85" spans="1:1" ht="21" customHeight="1" x14ac:dyDescent="0.25">
      <c r="A85" s="101" t="str">
        <f t="shared" si="1"/>
        <v/>
      </c>
    </row>
    <row r="86" spans="1:1" ht="21" customHeight="1" x14ac:dyDescent="0.25">
      <c r="A86" s="101" t="str">
        <f t="shared" si="1"/>
        <v/>
      </c>
    </row>
    <row r="87" spans="1:1" ht="21" customHeight="1" x14ac:dyDescent="0.25">
      <c r="A87" s="101" t="str">
        <f t="shared" si="1"/>
        <v/>
      </c>
    </row>
    <row r="88" spans="1:1" ht="21" customHeight="1" x14ac:dyDescent="0.25">
      <c r="A88" s="101" t="str">
        <f t="shared" si="1"/>
        <v/>
      </c>
    </row>
    <row r="89" spans="1:1" ht="21" customHeight="1" x14ac:dyDescent="0.25">
      <c r="A89" s="101" t="str">
        <f t="shared" si="1"/>
        <v/>
      </c>
    </row>
    <row r="90" spans="1:1" ht="21" customHeight="1" x14ac:dyDescent="0.25">
      <c r="A90" s="101" t="str">
        <f t="shared" si="1"/>
        <v/>
      </c>
    </row>
    <row r="91" spans="1:1" ht="21" customHeight="1" x14ac:dyDescent="0.25">
      <c r="A91" s="101" t="str">
        <f t="shared" si="1"/>
        <v/>
      </c>
    </row>
    <row r="92" spans="1:1" ht="21" customHeight="1" x14ac:dyDescent="0.25">
      <c r="A92" s="101" t="str">
        <f t="shared" si="1"/>
        <v/>
      </c>
    </row>
    <row r="93" spans="1:1" ht="21" customHeight="1" x14ac:dyDescent="0.25">
      <c r="A93" s="101" t="str">
        <f t="shared" si="1"/>
        <v/>
      </c>
    </row>
    <row r="94" spans="1:1" ht="21" customHeight="1" x14ac:dyDescent="0.25">
      <c r="A94" s="101" t="str">
        <f t="shared" si="1"/>
        <v/>
      </c>
    </row>
    <row r="95" spans="1:1" ht="21" customHeight="1" x14ac:dyDescent="0.25">
      <c r="A95" s="101" t="str">
        <f t="shared" si="1"/>
        <v/>
      </c>
    </row>
    <row r="96" spans="1:1" ht="21" customHeight="1" x14ac:dyDescent="0.25">
      <c r="A96" s="101" t="str">
        <f t="shared" si="1"/>
        <v/>
      </c>
    </row>
    <row r="97" spans="1:1" ht="21" customHeight="1" x14ac:dyDescent="0.25">
      <c r="A97" s="101" t="str">
        <f t="shared" si="1"/>
        <v/>
      </c>
    </row>
    <row r="98" spans="1:1" ht="21" customHeight="1" x14ac:dyDescent="0.25">
      <c r="A98" s="101" t="str">
        <f t="shared" si="1"/>
        <v/>
      </c>
    </row>
    <row r="99" spans="1:1" ht="21" customHeight="1" x14ac:dyDescent="0.25">
      <c r="A99" s="101" t="str">
        <f t="shared" si="1"/>
        <v/>
      </c>
    </row>
    <row r="100" spans="1:1" ht="21" customHeight="1" x14ac:dyDescent="0.25">
      <c r="A100" s="101" t="str">
        <f t="shared" si="1"/>
        <v/>
      </c>
    </row>
    <row r="101" spans="1:1" ht="21" customHeight="1" x14ac:dyDescent="0.25">
      <c r="A101" s="101" t="str">
        <f t="shared" si="1"/>
        <v/>
      </c>
    </row>
    <row r="102" spans="1:1" ht="21" customHeight="1" x14ac:dyDescent="0.25">
      <c r="A102" s="101" t="str">
        <f t="shared" si="1"/>
        <v/>
      </c>
    </row>
    <row r="103" spans="1:1" ht="21" customHeight="1" x14ac:dyDescent="0.25">
      <c r="A103" s="101" t="str">
        <f t="shared" si="1"/>
        <v/>
      </c>
    </row>
    <row r="104" spans="1:1" ht="21" customHeight="1" x14ac:dyDescent="0.25">
      <c r="A104" s="101" t="str">
        <f t="shared" si="1"/>
        <v/>
      </c>
    </row>
    <row r="105" spans="1:1" ht="21" customHeight="1" x14ac:dyDescent="0.25">
      <c r="A105" s="101" t="str">
        <f t="shared" si="1"/>
        <v/>
      </c>
    </row>
    <row r="106" spans="1:1" ht="21" customHeight="1" x14ac:dyDescent="0.25">
      <c r="A106" s="101" t="str">
        <f t="shared" si="1"/>
        <v/>
      </c>
    </row>
    <row r="107" spans="1:1" ht="21" customHeight="1" x14ac:dyDescent="0.25">
      <c r="A107" s="101" t="str">
        <f t="shared" si="1"/>
        <v/>
      </c>
    </row>
    <row r="108" spans="1:1" ht="21" customHeight="1" x14ac:dyDescent="0.25">
      <c r="A108" s="101" t="str">
        <f t="shared" si="1"/>
        <v/>
      </c>
    </row>
    <row r="109" spans="1:1" ht="21" customHeight="1" x14ac:dyDescent="0.25">
      <c r="A109" s="101" t="str">
        <f t="shared" si="1"/>
        <v/>
      </c>
    </row>
    <row r="110" spans="1:1" ht="21" customHeight="1" x14ac:dyDescent="0.25">
      <c r="A110" s="101" t="str">
        <f t="shared" si="1"/>
        <v/>
      </c>
    </row>
    <row r="111" spans="1:1" ht="21" customHeight="1" x14ac:dyDescent="0.25">
      <c r="A111" s="101" t="str">
        <f t="shared" si="1"/>
        <v/>
      </c>
    </row>
    <row r="112" spans="1:1" ht="21" customHeight="1" x14ac:dyDescent="0.25">
      <c r="A112" s="101" t="str">
        <f t="shared" si="1"/>
        <v/>
      </c>
    </row>
    <row r="113" spans="1:1" ht="21" customHeight="1" x14ac:dyDescent="0.25">
      <c r="A113" s="101" t="str">
        <f t="shared" si="1"/>
        <v/>
      </c>
    </row>
    <row r="114" spans="1:1" ht="21" customHeight="1" x14ac:dyDescent="0.25">
      <c r="A114" s="101" t="str">
        <f t="shared" si="1"/>
        <v/>
      </c>
    </row>
    <row r="115" spans="1:1" ht="21" customHeight="1" x14ac:dyDescent="0.25">
      <c r="A115" s="101" t="str">
        <f t="shared" si="1"/>
        <v/>
      </c>
    </row>
    <row r="116" spans="1:1" ht="21" customHeight="1" x14ac:dyDescent="0.25">
      <c r="A116" s="101" t="str">
        <f t="shared" si="1"/>
        <v/>
      </c>
    </row>
    <row r="117" spans="1:1" ht="21" customHeight="1" x14ac:dyDescent="0.25">
      <c r="A117" s="101" t="str">
        <f t="shared" si="1"/>
        <v/>
      </c>
    </row>
    <row r="118" spans="1:1" ht="21" customHeight="1" x14ac:dyDescent="0.25">
      <c r="A118" s="101" t="str">
        <f t="shared" si="1"/>
        <v/>
      </c>
    </row>
    <row r="119" spans="1:1" ht="21" customHeight="1" x14ac:dyDescent="0.25">
      <c r="A119" s="101" t="str">
        <f t="shared" si="1"/>
        <v/>
      </c>
    </row>
    <row r="120" spans="1:1" ht="21" customHeight="1" x14ac:dyDescent="0.25">
      <c r="A120" s="101" t="str">
        <f t="shared" si="1"/>
        <v/>
      </c>
    </row>
    <row r="121" spans="1:1" ht="21" customHeight="1" x14ac:dyDescent="0.25">
      <c r="A121" s="101" t="str">
        <f t="shared" si="1"/>
        <v/>
      </c>
    </row>
    <row r="122" spans="1:1" ht="21" customHeight="1" x14ac:dyDescent="0.25">
      <c r="A122" s="101" t="str">
        <f t="shared" si="1"/>
        <v/>
      </c>
    </row>
    <row r="123" spans="1:1" ht="21" customHeight="1" x14ac:dyDescent="0.25">
      <c r="A123" s="101" t="str">
        <f t="shared" si="1"/>
        <v/>
      </c>
    </row>
    <row r="124" spans="1:1" ht="21" customHeight="1" x14ac:dyDescent="0.25">
      <c r="A124" s="101" t="str">
        <f t="shared" si="1"/>
        <v/>
      </c>
    </row>
    <row r="125" spans="1:1" ht="21" customHeight="1" x14ac:dyDescent="0.25">
      <c r="A125" s="101" t="str">
        <f t="shared" si="1"/>
        <v/>
      </c>
    </row>
    <row r="126" spans="1:1" ht="21" customHeight="1" x14ac:dyDescent="0.25">
      <c r="A126" s="101" t="str">
        <f t="shared" si="1"/>
        <v/>
      </c>
    </row>
    <row r="127" spans="1:1" ht="21" customHeight="1" x14ac:dyDescent="0.25">
      <c r="A127" s="101" t="str">
        <f t="shared" si="1"/>
        <v/>
      </c>
    </row>
    <row r="128" spans="1:1" ht="21" customHeight="1" x14ac:dyDescent="0.25">
      <c r="A128" s="101" t="str">
        <f t="shared" si="1"/>
        <v/>
      </c>
    </row>
    <row r="129" spans="1:1" ht="21" customHeight="1" x14ac:dyDescent="0.25">
      <c r="A129" s="101" t="str">
        <f t="shared" si="1"/>
        <v/>
      </c>
    </row>
    <row r="130" spans="1:1" ht="21" customHeight="1" x14ac:dyDescent="0.25">
      <c r="A130" s="101" t="str">
        <f t="shared" si="1"/>
        <v/>
      </c>
    </row>
    <row r="131" spans="1:1" ht="21" customHeight="1" x14ac:dyDescent="0.25">
      <c r="A131" s="101" t="str">
        <f t="shared" si="1"/>
        <v/>
      </c>
    </row>
    <row r="132" spans="1:1" ht="21" customHeight="1" x14ac:dyDescent="0.25">
      <c r="A132" s="101" t="str">
        <f t="shared" si="1"/>
        <v/>
      </c>
    </row>
    <row r="133" spans="1:1" ht="21" customHeight="1" x14ac:dyDescent="0.25">
      <c r="A133" s="101" t="str">
        <f t="shared" si="1"/>
        <v/>
      </c>
    </row>
    <row r="134" spans="1:1" ht="21" customHeight="1" x14ac:dyDescent="0.25">
      <c r="A134" s="101" t="str">
        <f t="shared" si="1"/>
        <v/>
      </c>
    </row>
    <row r="135" spans="1:1" ht="21" customHeight="1" x14ac:dyDescent="0.25">
      <c r="A135" s="101" t="str">
        <f t="shared" si="1"/>
        <v/>
      </c>
    </row>
    <row r="136" spans="1:1" ht="21" customHeight="1" x14ac:dyDescent="0.25">
      <c r="A136" s="101" t="str">
        <f t="shared" si="1"/>
        <v/>
      </c>
    </row>
    <row r="137" spans="1:1" ht="21" customHeight="1" x14ac:dyDescent="0.25">
      <c r="A137" s="101" t="str">
        <f t="shared" si="1"/>
        <v/>
      </c>
    </row>
    <row r="138" spans="1:1" ht="21" customHeight="1" x14ac:dyDescent="0.25">
      <c r="A138" s="101" t="str">
        <f t="shared" si="1"/>
        <v/>
      </c>
    </row>
    <row r="139" spans="1:1" ht="21" customHeight="1" x14ac:dyDescent="0.25">
      <c r="A139" s="101" t="str">
        <f t="shared" si="1"/>
        <v/>
      </c>
    </row>
    <row r="140" spans="1:1" ht="21" customHeight="1" x14ac:dyDescent="0.25">
      <c r="A140" s="101" t="str">
        <f t="shared" si="1"/>
        <v/>
      </c>
    </row>
    <row r="141" spans="1:1" ht="21" customHeight="1" x14ac:dyDescent="0.25">
      <c r="A141" s="101" t="str">
        <f t="shared" si="1"/>
        <v/>
      </c>
    </row>
    <row r="142" spans="1:1" ht="21" customHeight="1" x14ac:dyDescent="0.25">
      <c r="A142" s="101" t="str">
        <f t="shared" si="1"/>
        <v/>
      </c>
    </row>
    <row r="143" spans="1:1" ht="21" customHeight="1" x14ac:dyDescent="0.25">
      <c r="A143" s="101" t="str">
        <f t="shared" si="1"/>
        <v/>
      </c>
    </row>
    <row r="144" spans="1:1" ht="21" customHeight="1" x14ac:dyDescent="0.25">
      <c r="A144" s="101" t="str">
        <f t="shared" si="1"/>
        <v/>
      </c>
    </row>
    <row r="145" spans="1:1" ht="21" customHeight="1" x14ac:dyDescent="0.25">
      <c r="A145" s="101" t="str">
        <f t="shared" ref="A145:A208" si="2">IF(B145&lt;&gt;"",A144+1,"")</f>
        <v/>
      </c>
    </row>
    <row r="146" spans="1:1" ht="21" customHeight="1" x14ac:dyDescent="0.25">
      <c r="A146" s="101" t="str">
        <f t="shared" si="2"/>
        <v/>
      </c>
    </row>
    <row r="147" spans="1:1" ht="21" customHeight="1" x14ac:dyDescent="0.25">
      <c r="A147" s="101" t="str">
        <f t="shared" si="2"/>
        <v/>
      </c>
    </row>
    <row r="148" spans="1:1" ht="21" customHeight="1" x14ac:dyDescent="0.25">
      <c r="A148" s="101" t="str">
        <f t="shared" si="2"/>
        <v/>
      </c>
    </row>
    <row r="149" spans="1:1" ht="21" customHeight="1" x14ac:dyDescent="0.25">
      <c r="A149" s="101" t="str">
        <f t="shared" si="2"/>
        <v/>
      </c>
    </row>
    <row r="150" spans="1:1" ht="21" customHeight="1" x14ac:dyDescent="0.25">
      <c r="A150" s="101" t="str">
        <f t="shared" si="2"/>
        <v/>
      </c>
    </row>
    <row r="151" spans="1:1" ht="21" customHeight="1" x14ac:dyDescent="0.25">
      <c r="A151" s="101" t="str">
        <f t="shared" si="2"/>
        <v/>
      </c>
    </row>
    <row r="152" spans="1:1" ht="21" customHeight="1" x14ac:dyDescent="0.25">
      <c r="A152" s="101" t="str">
        <f t="shared" si="2"/>
        <v/>
      </c>
    </row>
    <row r="153" spans="1:1" ht="21" customHeight="1" x14ac:dyDescent="0.25">
      <c r="A153" s="101" t="str">
        <f t="shared" si="2"/>
        <v/>
      </c>
    </row>
    <row r="154" spans="1:1" ht="21" customHeight="1" x14ac:dyDescent="0.25">
      <c r="A154" s="101" t="str">
        <f t="shared" si="2"/>
        <v/>
      </c>
    </row>
    <row r="155" spans="1:1" ht="21" customHeight="1" x14ac:dyDescent="0.25">
      <c r="A155" s="101" t="str">
        <f t="shared" si="2"/>
        <v/>
      </c>
    </row>
    <row r="156" spans="1:1" ht="21" customHeight="1" x14ac:dyDescent="0.25">
      <c r="A156" s="101" t="str">
        <f t="shared" si="2"/>
        <v/>
      </c>
    </row>
    <row r="157" spans="1:1" ht="21" customHeight="1" x14ac:dyDescent="0.25">
      <c r="A157" s="101" t="str">
        <f t="shared" si="2"/>
        <v/>
      </c>
    </row>
    <row r="158" spans="1:1" ht="21" customHeight="1" x14ac:dyDescent="0.25">
      <c r="A158" s="101" t="str">
        <f t="shared" si="2"/>
        <v/>
      </c>
    </row>
    <row r="159" spans="1:1" ht="21" customHeight="1" x14ac:dyDescent="0.25">
      <c r="A159" s="101" t="str">
        <f t="shared" si="2"/>
        <v/>
      </c>
    </row>
    <row r="160" spans="1:1" ht="21" customHeight="1" x14ac:dyDescent="0.25">
      <c r="A160" s="101" t="str">
        <f t="shared" si="2"/>
        <v/>
      </c>
    </row>
    <row r="161" spans="1:1" ht="21" customHeight="1" x14ac:dyDescent="0.25">
      <c r="A161" s="101" t="str">
        <f t="shared" si="2"/>
        <v/>
      </c>
    </row>
    <row r="162" spans="1:1" ht="21" customHeight="1" x14ac:dyDescent="0.25">
      <c r="A162" s="101" t="str">
        <f t="shared" si="2"/>
        <v/>
      </c>
    </row>
    <row r="163" spans="1:1" ht="21" customHeight="1" x14ac:dyDescent="0.25">
      <c r="A163" s="101" t="str">
        <f t="shared" si="2"/>
        <v/>
      </c>
    </row>
    <row r="164" spans="1:1" ht="21" customHeight="1" x14ac:dyDescent="0.25">
      <c r="A164" s="101" t="str">
        <f t="shared" si="2"/>
        <v/>
      </c>
    </row>
    <row r="165" spans="1:1" ht="21" customHeight="1" x14ac:dyDescent="0.25">
      <c r="A165" s="101" t="str">
        <f t="shared" si="2"/>
        <v/>
      </c>
    </row>
    <row r="166" spans="1:1" ht="21" customHeight="1" x14ac:dyDescent="0.25">
      <c r="A166" s="101" t="str">
        <f t="shared" si="2"/>
        <v/>
      </c>
    </row>
    <row r="167" spans="1:1" ht="21" customHeight="1" x14ac:dyDescent="0.25">
      <c r="A167" s="101" t="str">
        <f t="shared" si="2"/>
        <v/>
      </c>
    </row>
    <row r="168" spans="1:1" ht="21" customHeight="1" x14ac:dyDescent="0.25">
      <c r="A168" s="101" t="str">
        <f t="shared" si="2"/>
        <v/>
      </c>
    </row>
    <row r="169" spans="1:1" ht="21" customHeight="1" x14ac:dyDescent="0.25">
      <c r="A169" s="101" t="str">
        <f t="shared" si="2"/>
        <v/>
      </c>
    </row>
    <row r="170" spans="1:1" ht="21" customHeight="1" x14ac:dyDescent="0.25">
      <c r="A170" s="101" t="str">
        <f t="shared" si="2"/>
        <v/>
      </c>
    </row>
    <row r="171" spans="1:1" ht="21" customHeight="1" x14ac:dyDescent="0.25">
      <c r="A171" s="101" t="str">
        <f t="shared" si="2"/>
        <v/>
      </c>
    </row>
    <row r="172" spans="1:1" ht="21" customHeight="1" x14ac:dyDescent="0.25">
      <c r="A172" s="101" t="str">
        <f t="shared" si="2"/>
        <v/>
      </c>
    </row>
    <row r="173" spans="1:1" ht="21" customHeight="1" x14ac:dyDescent="0.25">
      <c r="A173" s="101" t="str">
        <f t="shared" si="2"/>
        <v/>
      </c>
    </row>
    <row r="174" spans="1:1" ht="21" customHeight="1" x14ac:dyDescent="0.25">
      <c r="A174" s="101" t="str">
        <f t="shared" si="2"/>
        <v/>
      </c>
    </row>
    <row r="175" spans="1:1" ht="21" customHeight="1" x14ac:dyDescent="0.25">
      <c r="A175" s="101" t="str">
        <f t="shared" si="2"/>
        <v/>
      </c>
    </row>
    <row r="176" spans="1:1" ht="21" customHeight="1" x14ac:dyDescent="0.25">
      <c r="A176" s="101" t="str">
        <f t="shared" si="2"/>
        <v/>
      </c>
    </row>
    <row r="177" spans="1:1" ht="21" customHeight="1" x14ac:dyDescent="0.25">
      <c r="A177" s="101" t="str">
        <f t="shared" si="2"/>
        <v/>
      </c>
    </row>
    <row r="178" spans="1:1" ht="21" customHeight="1" x14ac:dyDescent="0.25">
      <c r="A178" s="101" t="str">
        <f t="shared" si="2"/>
        <v/>
      </c>
    </row>
    <row r="179" spans="1:1" ht="21" customHeight="1" x14ac:dyDescent="0.25">
      <c r="A179" s="101" t="str">
        <f t="shared" si="2"/>
        <v/>
      </c>
    </row>
    <row r="180" spans="1:1" ht="21" customHeight="1" x14ac:dyDescent="0.25">
      <c r="A180" s="101" t="str">
        <f t="shared" si="2"/>
        <v/>
      </c>
    </row>
    <row r="181" spans="1:1" ht="21" customHeight="1" x14ac:dyDescent="0.25">
      <c r="A181" s="101" t="str">
        <f t="shared" si="2"/>
        <v/>
      </c>
    </row>
    <row r="182" spans="1:1" ht="21" customHeight="1" x14ac:dyDescent="0.25">
      <c r="A182" s="101" t="str">
        <f t="shared" si="2"/>
        <v/>
      </c>
    </row>
    <row r="183" spans="1:1" ht="21" customHeight="1" x14ac:dyDescent="0.25">
      <c r="A183" s="101" t="str">
        <f t="shared" si="2"/>
        <v/>
      </c>
    </row>
    <row r="184" spans="1:1" ht="21" customHeight="1" x14ac:dyDescent="0.25">
      <c r="A184" s="101" t="str">
        <f t="shared" si="2"/>
        <v/>
      </c>
    </row>
    <row r="185" spans="1:1" ht="21" customHeight="1" x14ac:dyDescent="0.25">
      <c r="A185" s="101" t="str">
        <f t="shared" si="2"/>
        <v/>
      </c>
    </row>
    <row r="186" spans="1:1" ht="21" customHeight="1" x14ac:dyDescent="0.25">
      <c r="A186" s="101" t="str">
        <f t="shared" si="2"/>
        <v/>
      </c>
    </row>
    <row r="187" spans="1:1" ht="21" customHeight="1" x14ac:dyDescent="0.25">
      <c r="A187" s="101" t="str">
        <f t="shared" si="2"/>
        <v/>
      </c>
    </row>
    <row r="188" spans="1:1" ht="21" customHeight="1" x14ac:dyDescent="0.25">
      <c r="A188" s="101" t="str">
        <f t="shared" si="2"/>
        <v/>
      </c>
    </row>
    <row r="189" spans="1:1" ht="21" customHeight="1" x14ac:dyDescent="0.25">
      <c r="A189" s="101" t="str">
        <f t="shared" si="2"/>
        <v/>
      </c>
    </row>
    <row r="190" spans="1:1" ht="21" customHeight="1" x14ac:dyDescent="0.25">
      <c r="A190" s="101" t="str">
        <f t="shared" si="2"/>
        <v/>
      </c>
    </row>
    <row r="191" spans="1:1" ht="21" customHeight="1" x14ac:dyDescent="0.25">
      <c r="A191" s="101" t="str">
        <f t="shared" si="2"/>
        <v/>
      </c>
    </row>
    <row r="192" spans="1:1" ht="21" customHeight="1" x14ac:dyDescent="0.25">
      <c r="A192" s="101" t="str">
        <f t="shared" si="2"/>
        <v/>
      </c>
    </row>
    <row r="193" spans="1:1" ht="21" customHeight="1" x14ac:dyDescent="0.25">
      <c r="A193" s="101" t="str">
        <f t="shared" si="2"/>
        <v/>
      </c>
    </row>
    <row r="194" spans="1:1" ht="21" customHeight="1" x14ac:dyDescent="0.25">
      <c r="A194" s="101" t="str">
        <f t="shared" si="2"/>
        <v/>
      </c>
    </row>
    <row r="195" spans="1:1" ht="21" customHeight="1" x14ac:dyDescent="0.25">
      <c r="A195" s="101" t="str">
        <f t="shared" si="2"/>
        <v/>
      </c>
    </row>
    <row r="196" spans="1:1" ht="21" customHeight="1" x14ac:dyDescent="0.25">
      <c r="A196" s="101" t="str">
        <f t="shared" si="2"/>
        <v/>
      </c>
    </row>
    <row r="197" spans="1:1" ht="21" customHeight="1" x14ac:dyDescent="0.25">
      <c r="A197" s="101" t="str">
        <f t="shared" si="2"/>
        <v/>
      </c>
    </row>
    <row r="198" spans="1:1" ht="21" customHeight="1" x14ac:dyDescent="0.25">
      <c r="A198" s="101" t="str">
        <f t="shared" si="2"/>
        <v/>
      </c>
    </row>
    <row r="199" spans="1:1" ht="21" customHeight="1" x14ac:dyDescent="0.25">
      <c r="A199" s="101" t="str">
        <f t="shared" si="2"/>
        <v/>
      </c>
    </row>
    <row r="200" spans="1:1" ht="21" customHeight="1" x14ac:dyDescent="0.25">
      <c r="A200" s="101" t="str">
        <f t="shared" si="2"/>
        <v/>
      </c>
    </row>
    <row r="201" spans="1:1" ht="21" customHeight="1" x14ac:dyDescent="0.25">
      <c r="A201" s="101" t="str">
        <f t="shared" si="2"/>
        <v/>
      </c>
    </row>
    <row r="202" spans="1:1" ht="21" customHeight="1" x14ac:dyDescent="0.25">
      <c r="A202" s="101" t="str">
        <f t="shared" si="2"/>
        <v/>
      </c>
    </row>
    <row r="203" spans="1:1" ht="21" customHeight="1" x14ac:dyDescent="0.25">
      <c r="A203" s="101" t="str">
        <f t="shared" si="2"/>
        <v/>
      </c>
    </row>
    <row r="204" spans="1:1" ht="21" customHeight="1" x14ac:dyDescent="0.25">
      <c r="A204" s="101" t="str">
        <f t="shared" si="2"/>
        <v/>
      </c>
    </row>
    <row r="205" spans="1:1" ht="21" customHeight="1" x14ac:dyDescent="0.25">
      <c r="A205" s="101" t="str">
        <f t="shared" si="2"/>
        <v/>
      </c>
    </row>
    <row r="206" spans="1:1" ht="21" customHeight="1" x14ac:dyDescent="0.25">
      <c r="A206" s="101" t="str">
        <f t="shared" si="2"/>
        <v/>
      </c>
    </row>
    <row r="207" spans="1:1" ht="21" customHeight="1" x14ac:dyDescent="0.25">
      <c r="A207" s="101" t="str">
        <f t="shared" si="2"/>
        <v/>
      </c>
    </row>
    <row r="208" spans="1:1" ht="21" customHeight="1" x14ac:dyDescent="0.25">
      <c r="A208" s="101" t="str">
        <f t="shared" si="2"/>
        <v/>
      </c>
    </row>
    <row r="209" spans="1:1" ht="21" customHeight="1" x14ac:dyDescent="0.25">
      <c r="A209" s="101" t="str">
        <f t="shared" ref="A209:A272" si="3">IF(B209&lt;&gt;"",A208+1,"")</f>
        <v/>
      </c>
    </row>
    <row r="210" spans="1:1" ht="21" customHeight="1" x14ac:dyDescent="0.25">
      <c r="A210" s="101" t="str">
        <f t="shared" si="3"/>
        <v/>
      </c>
    </row>
    <row r="211" spans="1:1" ht="21" customHeight="1" x14ac:dyDescent="0.25">
      <c r="A211" s="101" t="str">
        <f t="shared" si="3"/>
        <v/>
      </c>
    </row>
    <row r="212" spans="1:1" ht="21" customHeight="1" x14ac:dyDescent="0.25">
      <c r="A212" s="101" t="str">
        <f t="shared" si="3"/>
        <v/>
      </c>
    </row>
    <row r="213" spans="1:1" ht="21" customHeight="1" x14ac:dyDescent="0.25">
      <c r="A213" s="101" t="str">
        <f t="shared" si="3"/>
        <v/>
      </c>
    </row>
    <row r="214" spans="1:1" ht="21" customHeight="1" x14ac:dyDescent="0.25">
      <c r="A214" s="101" t="str">
        <f t="shared" si="3"/>
        <v/>
      </c>
    </row>
    <row r="215" spans="1:1" ht="21" customHeight="1" x14ac:dyDescent="0.25">
      <c r="A215" s="101" t="str">
        <f t="shared" si="3"/>
        <v/>
      </c>
    </row>
    <row r="216" spans="1:1" ht="21" customHeight="1" x14ac:dyDescent="0.25">
      <c r="A216" s="101" t="str">
        <f t="shared" si="3"/>
        <v/>
      </c>
    </row>
    <row r="217" spans="1:1" ht="21" customHeight="1" x14ac:dyDescent="0.25">
      <c r="A217" s="101" t="str">
        <f t="shared" si="3"/>
        <v/>
      </c>
    </row>
    <row r="218" spans="1:1" ht="21" customHeight="1" x14ac:dyDescent="0.25">
      <c r="A218" s="101" t="str">
        <f t="shared" si="3"/>
        <v/>
      </c>
    </row>
    <row r="219" spans="1:1" ht="21" customHeight="1" x14ac:dyDescent="0.25">
      <c r="A219" s="101" t="str">
        <f t="shared" si="3"/>
        <v/>
      </c>
    </row>
    <row r="220" spans="1:1" ht="21" customHeight="1" x14ac:dyDescent="0.25">
      <c r="A220" s="101" t="str">
        <f t="shared" si="3"/>
        <v/>
      </c>
    </row>
    <row r="221" spans="1:1" ht="21" customHeight="1" x14ac:dyDescent="0.25">
      <c r="A221" s="101" t="str">
        <f t="shared" si="3"/>
        <v/>
      </c>
    </row>
    <row r="222" spans="1:1" ht="21" customHeight="1" x14ac:dyDescent="0.25">
      <c r="A222" s="101" t="str">
        <f t="shared" si="3"/>
        <v/>
      </c>
    </row>
    <row r="223" spans="1:1" ht="21" customHeight="1" x14ac:dyDescent="0.25">
      <c r="A223" s="101" t="str">
        <f t="shared" si="3"/>
        <v/>
      </c>
    </row>
    <row r="224" spans="1:1" ht="21" customHeight="1" x14ac:dyDescent="0.25">
      <c r="A224" s="101" t="str">
        <f t="shared" si="3"/>
        <v/>
      </c>
    </row>
    <row r="225" spans="1:1" ht="21" customHeight="1" x14ac:dyDescent="0.25">
      <c r="A225" s="101" t="str">
        <f t="shared" si="3"/>
        <v/>
      </c>
    </row>
    <row r="226" spans="1:1" ht="21" customHeight="1" x14ac:dyDescent="0.25">
      <c r="A226" s="101" t="str">
        <f t="shared" si="3"/>
        <v/>
      </c>
    </row>
    <row r="227" spans="1:1" ht="21" customHeight="1" x14ac:dyDescent="0.25">
      <c r="A227" s="101" t="str">
        <f t="shared" si="3"/>
        <v/>
      </c>
    </row>
    <row r="228" spans="1:1" ht="21" customHeight="1" x14ac:dyDescent="0.25">
      <c r="A228" s="101" t="str">
        <f t="shared" si="3"/>
        <v/>
      </c>
    </row>
    <row r="229" spans="1:1" ht="21" customHeight="1" x14ac:dyDescent="0.25">
      <c r="A229" s="101" t="str">
        <f t="shared" si="3"/>
        <v/>
      </c>
    </row>
    <row r="230" spans="1:1" ht="21" customHeight="1" x14ac:dyDescent="0.25">
      <c r="A230" s="101" t="str">
        <f t="shared" si="3"/>
        <v/>
      </c>
    </row>
    <row r="231" spans="1:1" ht="21" customHeight="1" x14ac:dyDescent="0.25">
      <c r="A231" s="101" t="str">
        <f t="shared" si="3"/>
        <v/>
      </c>
    </row>
    <row r="232" spans="1:1" ht="21" customHeight="1" x14ac:dyDescent="0.25">
      <c r="A232" s="101" t="str">
        <f t="shared" si="3"/>
        <v/>
      </c>
    </row>
    <row r="233" spans="1:1" ht="21" customHeight="1" x14ac:dyDescent="0.25">
      <c r="A233" s="101" t="str">
        <f t="shared" si="3"/>
        <v/>
      </c>
    </row>
    <row r="234" spans="1:1" ht="21" customHeight="1" x14ac:dyDescent="0.25">
      <c r="A234" s="101" t="str">
        <f t="shared" si="3"/>
        <v/>
      </c>
    </row>
    <row r="235" spans="1:1" ht="21" customHeight="1" x14ac:dyDescent="0.25">
      <c r="A235" s="101" t="str">
        <f t="shared" si="3"/>
        <v/>
      </c>
    </row>
    <row r="236" spans="1:1" ht="21" customHeight="1" x14ac:dyDescent="0.25">
      <c r="A236" s="101" t="str">
        <f t="shared" si="3"/>
        <v/>
      </c>
    </row>
    <row r="237" spans="1:1" ht="21" customHeight="1" x14ac:dyDescent="0.25">
      <c r="A237" s="101" t="str">
        <f t="shared" si="3"/>
        <v/>
      </c>
    </row>
    <row r="238" spans="1:1" ht="21" customHeight="1" x14ac:dyDescent="0.25">
      <c r="A238" s="101" t="str">
        <f t="shared" si="3"/>
        <v/>
      </c>
    </row>
    <row r="239" spans="1:1" ht="21" customHeight="1" x14ac:dyDescent="0.25">
      <c r="A239" s="101" t="str">
        <f t="shared" si="3"/>
        <v/>
      </c>
    </row>
    <row r="240" spans="1:1" ht="21" customHeight="1" x14ac:dyDescent="0.25">
      <c r="A240" s="101" t="str">
        <f t="shared" si="3"/>
        <v/>
      </c>
    </row>
    <row r="241" spans="1:1" ht="21" customHeight="1" x14ac:dyDescent="0.25">
      <c r="A241" s="101" t="str">
        <f t="shared" si="3"/>
        <v/>
      </c>
    </row>
    <row r="242" spans="1:1" ht="21" customHeight="1" x14ac:dyDescent="0.25">
      <c r="A242" s="101" t="str">
        <f t="shared" si="3"/>
        <v/>
      </c>
    </row>
    <row r="243" spans="1:1" ht="21" customHeight="1" x14ac:dyDescent="0.25">
      <c r="A243" s="101" t="str">
        <f t="shared" si="3"/>
        <v/>
      </c>
    </row>
    <row r="244" spans="1:1" ht="21" customHeight="1" x14ac:dyDescent="0.25">
      <c r="A244" s="101" t="str">
        <f t="shared" si="3"/>
        <v/>
      </c>
    </row>
    <row r="245" spans="1:1" ht="21" customHeight="1" x14ac:dyDescent="0.25">
      <c r="A245" s="101" t="str">
        <f t="shared" si="3"/>
        <v/>
      </c>
    </row>
    <row r="246" spans="1:1" ht="21" customHeight="1" x14ac:dyDescent="0.25">
      <c r="A246" s="101" t="str">
        <f t="shared" si="3"/>
        <v/>
      </c>
    </row>
    <row r="247" spans="1:1" ht="21" customHeight="1" x14ac:dyDescent="0.25">
      <c r="A247" s="101" t="str">
        <f t="shared" si="3"/>
        <v/>
      </c>
    </row>
    <row r="248" spans="1:1" ht="21" customHeight="1" x14ac:dyDescent="0.25">
      <c r="A248" s="101" t="str">
        <f t="shared" si="3"/>
        <v/>
      </c>
    </row>
    <row r="249" spans="1:1" ht="21" customHeight="1" x14ac:dyDescent="0.25">
      <c r="A249" s="101" t="str">
        <f t="shared" si="3"/>
        <v/>
      </c>
    </row>
    <row r="250" spans="1:1" ht="21" customHeight="1" x14ac:dyDescent="0.25">
      <c r="A250" s="101" t="str">
        <f t="shared" si="3"/>
        <v/>
      </c>
    </row>
    <row r="251" spans="1:1" ht="21" customHeight="1" x14ac:dyDescent="0.25">
      <c r="A251" s="101" t="str">
        <f t="shared" si="3"/>
        <v/>
      </c>
    </row>
    <row r="252" spans="1:1" ht="21" customHeight="1" x14ac:dyDescent="0.25">
      <c r="A252" s="101" t="str">
        <f t="shared" si="3"/>
        <v/>
      </c>
    </row>
    <row r="253" spans="1:1" ht="21" customHeight="1" x14ac:dyDescent="0.25">
      <c r="A253" s="101" t="str">
        <f t="shared" si="3"/>
        <v/>
      </c>
    </row>
    <row r="254" spans="1:1" ht="21" customHeight="1" x14ac:dyDescent="0.25">
      <c r="A254" s="101" t="str">
        <f t="shared" si="3"/>
        <v/>
      </c>
    </row>
    <row r="255" spans="1:1" ht="21" customHeight="1" x14ac:dyDescent="0.25">
      <c r="A255" s="101" t="str">
        <f t="shared" si="3"/>
        <v/>
      </c>
    </row>
    <row r="256" spans="1:1" ht="21" customHeight="1" x14ac:dyDescent="0.25">
      <c r="A256" s="101" t="str">
        <f t="shared" si="3"/>
        <v/>
      </c>
    </row>
    <row r="257" spans="1:1" ht="21" customHeight="1" x14ac:dyDescent="0.25">
      <c r="A257" s="101" t="str">
        <f t="shared" si="3"/>
        <v/>
      </c>
    </row>
    <row r="258" spans="1:1" ht="21" customHeight="1" x14ac:dyDescent="0.25">
      <c r="A258" s="101" t="str">
        <f t="shared" si="3"/>
        <v/>
      </c>
    </row>
    <row r="259" spans="1:1" ht="21" customHeight="1" x14ac:dyDescent="0.25">
      <c r="A259" s="101" t="str">
        <f t="shared" si="3"/>
        <v/>
      </c>
    </row>
    <row r="260" spans="1:1" ht="21" customHeight="1" x14ac:dyDescent="0.25">
      <c r="A260" s="101" t="str">
        <f t="shared" si="3"/>
        <v/>
      </c>
    </row>
    <row r="261" spans="1:1" ht="21" customHeight="1" x14ac:dyDescent="0.25">
      <c r="A261" s="101" t="str">
        <f t="shared" si="3"/>
        <v/>
      </c>
    </row>
    <row r="262" spans="1:1" ht="21" customHeight="1" x14ac:dyDescent="0.25">
      <c r="A262" s="101" t="str">
        <f t="shared" si="3"/>
        <v/>
      </c>
    </row>
    <row r="263" spans="1:1" ht="21" customHeight="1" x14ac:dyDescent="0.25">
      <c r="A263" s="101" t="str">
        <f t="shared" si="3"/>
        <v/>
      </c>
    </row>
    <row r="264" spans="1:1" ht="21" customHeight="1" x14ac:dyDescent="0.25">
      <c r="A264" s="101" t="str">
        <f t="shared" si="3"/>
        <v/>
      </c>
    </row>
    <row r="265" spans="1:1" ht="21" customHeight="1" x14ac:dyDescent="0.25">
      <c r="A265" s="101" t="str">
        <f t="shared" si="3"/>
        <v/>
      </c>
    </row>
    <row r="266" spans="1:1" ht="21" customHeight="1" x14ac:dyDescent="0.25">
      <c r="A266" s="101" t="str">
        <f t="shared" si="3"/>
        <v/>
      </c>
    </row>
    <row r="267" spans="1:1" ht="21" customHeight="1" x14ac:dyDescent="0.25">
      <c r="A267" s="101" t="str">
        <f t="shared" si="3"/>
        <v/>
      </c>
    </row>
    <row r="268" spans="1:1" ht="21" customHeight="1" x14ac:dyDescent="0.25">
      <c r="A268" s="101" t="str">
        <f t="shared" si="3"/>
        <v/>
      </c>
    </row>
    <row r="269" spans="1:1" ht="21" customHeight="1" x14ac:dyDescent="0.25">
      <c r="A269" s="101" t="str">
        <f t="shared" si="3"/>
        <v/>
      </c>
    </row>
    <row r="270" spans="1:1" ht="21" customHeight="1" x14ac:dyDescent="0.25">
      <c r="A270" s="101" t="str">
        <f t="shared" si="3"/>
        <v/>
      </c>
    </row>
    <row r="271" spans="1:1" ht="21" customHeight="1" x14ac:dyDescent="0.25">
      <c r="A271" s="101" t="str">
        <f t="shared" si="3"/>
        <v/>
      </c>
    </row>
    <row r="272" spans="1:1" ht="21" customHeight="1" x14ac:dyDescent="0.25">
      <c r="A272" s="101" t="str">
        <f t="shared" si="3"/>
        <v/>
      </c>
    </row>
    <row r="273" spans="1:1" ht="21" customHeight="1" x14ac:dyDescent="0.25">
      <c r="A273" s="101" t="str">
        <f t="shared" ref="A273:A336" si="4">IF(B273&lt;&gt;"",A272+1,"")</f>
        <v/>
      </c>
    </row>
    <row r="274" spans="1:1" ht="21" customHeight="1" x14ac:dyDescent="0.25">
      <c r="A274" s="101" t="str">
        <f t="shared" si="4"/>
        <v/>
      </c>
    </row>
    <row r="275" spans="1:1" ht="21" customHeight="1" x14ac:dyDescent="0.25">
      <c r="A275" s="101" t="str">
        <f t="shared" si="4"/>
        <v/>
      </c>
    </row>
    <row r="276" spans="1:1" ht="21" customHeight="1" x14ac:dyDescent="0.25">
      <c r="A276" s="101" t="str">
        <f t="shared" si="4"/>
        <v/>
      </c>
    </row>
    <row r="277" spans="1:1" ht="21" customHeight="1" x14ac:dyDescent="0.25">
      <c r="A277" s="101" t="str">
        <f t="shared" si="4"/>
        <v/>
      </c>
    </row>
    <row r="278" spans="1:1" ht="21" customHeight="1" x14ac:dyDescent="0.25">
      <c r="A278" s="101" t="str">
        <f t="shared" si="4"/>
        <v/>
      </c>
    </row>
    <row r="279" spans="1:1" ht="21" customHeight="1" x14ac:dyDescent="0.25">
      <c r="A279" s="101" t="str">
        <f t="shared" si="4"/>
        <v/>
      </c>
    </row>
    <row r="280" spans="1:1" ht="21" customHeight="1" x14ac:dyDescent="0.25">
      <c r="A280" s="101" t="str">
        <f t="shared" si="4"/>
        <v/>
      </c>
    </row>
    <row r="281" spans="1:1" ht="21" customHeight="1" x14ac:dyDescent="0.25">
      <c r="A281" s="101" t="str">
        <f t="shared" si="4"/>
        <v/>
      </c>
    </row>
    <row r="282" spans="1:1" ht="21" customHeight="1" x14ac:dyDescent="0.25">
      <c r="A282" s="101" t="str">
        <f t="shared" si="4"/>
        <v/>
      </c>
    </row>
    <row r="283" spans="1:1" ht="21" customHeight="1" x14ac:dyDescent="0.25">
      <c r="A283" s="101" t="str">
        <f t="shared" si="4"/>
        <v/>
      </c>
    </row>
    <row r="284" spans="1:1" ht="21" customHeight="1" x14ac:dyDescent="0.25">
      <c r="A284" s="101" t="str">
        <f t="shared" si="4"/>
        <v/>
      </c>
    </row>
    <row r="285" spans="1:1" ht="21" customHeight="1" x14ac:dyDescent="0.25">
      <c r="A285" s="101" t="str">
        <f t="shared" si="4"/>
        <v/>
      </c>
    </row>
    <row r="286" spans="1:1" ht="21" customHeight="1" x14ac:dyDescent="0.25">
      <c r="A286" s="101" t="str">
        <f t="shared" si="4"/>
        <v/>
      </c>
    </row>
    <row r="287" spans="1:1" ht="21" customHeight="1" x14ac:dyDescent="0.25">
      <c r="A287" s="101" t="str">
        <f t="shared" si="4"/>
        <v/>
      </c>
    </row>
    <row r="288" spans="1:1" ht="21" customHeight="1" x14ac:dyDescent="0.25">
      <c r="A288" s="101" t="str">
        <f t="shared" si="4"/>
        <v/>
      </c>
    </row>
    <row r="289" spans="1:1" ht="21" customHeight="1" x14ac:dyDescent="0.25">
      <c r="A289" s="101" t="str">
        <f t="shared" si="4"/>
        <v/>
      </c>
    </row>
    <row r="290" spans="1:1" ht="21" customHeight="1" x14ac:dyDescent="0.25">
      <c r="A290" s="101" t="str">
        <f t="shared" si="4"/>
        <v/>
      </c>
    </row>
    <row r="291" spans="1:1" ht="21" customHeight="1" x14ac:dyDescent="0.25">
      <c r="A291" s="101" t="str">
        <f t="shared" si="4"/>
        <v/>
      </c>
    </row>
    <row r="292" spans="1:1" ht="21" customHeight="1" x14ac:dyDescent="0.25">
      <c r="A292" s="101" t="str">
        <f t="shared" si="4"/>
        <v/>
      </c>
    </row>
    <row r="293" spans="1:1" ht="21" customHeight="1" x14ac:dyDescent="0.25">
      <c r="A293" s="101" t="str">
        <f t="shared" si="4"/>
        <v/>
      </c>
    </row>
    <row r="294" spans="1:1" ht="21" customHeight="1" x14ac:dyDescent="0.25">
      <c r="A294" s="101" t="str">
        <f t="shared" si="4"/>
        <v/>
      </c>
    </row>
    <row r="295" spans="1:1" ht="21" customHeight="1" x14ac:dyDescent="0.25">
      <c r="A295" s="101" t="str">
        <f t="shared" si="4"/>
        <v/>
      </c>
    </row>
    <row r="296" spans="1:1" ht="21" customHeight="1" x14ac:dyDescent="0.25">
      <c r="A296" s="101" t="str">
        <f t="shared" si="4"/>
        <v/>
      </c>
    </row>
    <row r="297" spans="1:1" ht="21" customHeight="1" x14ac:dyDescent="0.25">
      <c r="A297" s="101" t="str">
        <f t="shared" si="4"/>
        <v/>
      </c>
    </row>
    <row r="298" spans="1:1" ht="21" customHeight="1" x14ac:dyDescent="0.25">
      <c r="A298" s="101" t="str">
        <f t="shared" si="4"/>
        <v/>
      </c>
    </row>
    <row r="299" spans="1:1" ht="21" customHeight="1" x14ac:dyDescent="0.25">
      <c r="A299" s="101" t="str">
        <f t="shared" si="4"/>
        <v/>
      </c>
    </row>
    <row r="300" spans="1:1" ht="21" customHeight="1" x14ac:dyDescent="0.25">
      <c r="A300" s="101" t="str">
        <f t="shared" si="4"/>
        <v/>
      </c>
    </row>
    <row r="301" spans="1:1" ht="21" customHeight="1" x14ac:dyDescent="0.25">
      <c r="A301" s="101" t="str">
        <f t="shared" si="4"/>
        <v/>
      </c>
    </row>
    <row r="302" spans="1:1" ht="21" customHeight="1" x14ac:dyDescent="0.25">
      <c r="A302" s="101" t="str">
        <f t="shared" si="4"/>
        <v/>
      </c>
    </row>
    <row r="303" spans="1:1" ht="21" customHeight="1" x14ac:dyDescent="0.25">
      <c r="A303" s="101" t="str">
        <f t="shared" si="4"/>
        <v/>
      </c>
    </row>
    <row r="304" spans="1:1" ht="21" customHeight="1" x14ac:dyDescent="0.25">
      <c r="A304" s="101" t="str">
        <f t="shared" si="4"/>
        <v/>
      </c>
    </row>
    <row r="305" spans="1:1" ht="21" customHeight="1" x14ac:dyDescent="0.25">
      <c r="A305" s="101" t="str">
        <f t="shared" si="4"/>
        <v/>
      </c>
    </row>
    <row r="306" spans="1:1" ht="21" customHeight="1" x14ac:dyDescent="0.25">
      <c r="A306" s="101" t="str">
        <f t="shared" si="4"/>
        <v/>
      </c>
    </row>
    <row r="307" spans="1:1" ht="21" customHeight="1" x14ac:dyDescent="0.25">
      <c r="A307" s="101" t="str">
        <f t="shared" si="4"/>
        <v/>
      </c>
    </row>
    <row r="308" spans="1:1" ht="21" customHeight="1" x14ac:dyDescent="0.25">
      <c r="A308" s="101" t="str">
        <f t="shared" si="4"/>
        <v/>
      </c>
    </row>
    <row r="309" spans="1:1" ht="21" customHeight="1" x14ac:dyDescent="0.25">
      <c r="A309" s="101" t="str">
        <f t="shared" si="4"/>
        <v/>
      </c>
    </row>
    <row r="310" spans="1:1" ht="21" customHeight="1" x14ac:dyDescent="0.25">
      <c r="A310" s="101" t="str">
        <f t="shared" si="4"/>
        <v/>
      </c>
    </row>
    <row r="311" spans="1:1" ht="21" customHeight="1" x14ac:dyDescent="0.25">
      <c r="A311" s="101" t="str">
        <f t="shared" si="4"/>
        <v/>
      </c>
    </row>
    <row r="312" spans="1:1" ht="21" customHeight="1" x14ac:dyDescent="0.25">
      <c r="A312" s="101" t="str">
        <f t="shared" si="4"/>
        <v/>
      </c>
    </row>
    <row r="313" spans="1:1" ht="21" customHeight="1" x14ac:dyDescent="0.25">
      <c r="A313" s="101" t="str">
        <f t="shared" si="4"/>
        <v/>
      </c>
    </row>
    <row r="314" spans="1:1" ht="21" customHeight="1" x14ac:dyDescent="0.25">
      <c r="A314" s="101" t="str">
        <f t="shared" si="4"/>
        <v/>
      </c>
    </row>
    <row r="315" spans="1:1" ht="21" customHeight="1" x14ac:dyDescent="0.25">
      <c r="A315" s="101" t="str">
        <f t="shared" si="4"/>
        <v/>
      </c>
    </row>
    <row r="316" spans="1:1" ht="21" customHeight="1" x14ac:dyDescent="0.25">
      <c r="A316" s="101" t="str">
        <f t="shared" si="4"/>
        <v/>
      </c>
    </row>
    <row r="317" spans="1:1" ht="21" customHeight="1" x14ac:dyDescent="0.25">
      <c r="A317" s="101" t="str">
        <f t="shared" si="4"/>
        <v/>
      </c>
    </row>
    <row r="318" spans="1:1" ht="21" customHeight="1" x14ac:dyDescent="0.25">
      <c r="A318" s="101" t="str">
        <f t="shared" si="4"/>
        <v/>
      </c>
    </row>
    <row r="319" spans="1:1" ht="21" customHeight="1" x14ac:dyDescent="0.25">
      <c r="A319" s="101" t="str">
        <f t="shared" si="4"/>
        <v/>
      </c>
    </row>
    <row r="320" spans="1:1" ht="21" customHeight="1" x14ac:dyDescent="0.25">
      <c r="A320" s="101" t="str">
        <f t="shared" si="4"/>
        <v/>
      </c>
    </row>
    <row r="321" spans="1:1" ht="21" customHeight="1" x14ac:dyDescent="0.25">
      <c r="A321" s="101" t="str">
        <f t="shared" si="4"/>
        <v/>
      </c>
    </row>
    <row r="322" spans="1:1" ht="21" customHeight="1" x14ac:dyDescent="0.25">
      <c r="A322" s="101" t="str">
        <f t="shared" si="4"/>
        <v/>
      </c>
    </row>
    <row r="323" spans="1:1" ht="21" customHeight="1" x14ac:dyDescent="0.25">
      <c r="A323" s="101" t="str">
        <f t="shared" si="4"/>
        <v/>
      </c>
    </row>
    <row r="324" spans="1:1" ht="21" customHeight="1" x14ac:dyDescent="0.25">
      <c r="A324" s="101" t="str">
        <f t="shared" si="4"/>
        <v/>
      </c>
    </row>
    <row r="325" spans="1:1" ht="21" customHeight="1" x14ac:dyDescent="0.25">
      <c r="A325" s="101" t="str">
        <f t="shared" si="4"/>
        <v/>
      </c>
    </row>
    <row r="326" spans="1:1" ht="21" customHeight="1" x14ac:dyDescent="0.25">
      <c r="A326" s="101" t="str">
        <f t="shared" si="4"/>
        <v/>
      </c>
    </row>
    <row r="327" spans="1:1" ht="21" customHeight="1" x14ac:dyDescent="0.25">
      <c r="A327" s="101" t="str">
        <f t="shared" si="4"/>
        <v/>
      </c>
    </row>
    <row r="328" spans="1:1" ht="21" customHeight="1" x14ac:dyDescent="0.25">
      <c r="A328" s="101" t="str">
        <f t="shared" si="4"/>
        <v/>
      </c>
    </row>
    <row r="329" spans="1:1" ht="21" customHeight="1" x14ac:dyDescent="0.25">
      <c r="A329" s="101" t="str">
        <f t="shared" si="4"/>
        <v/>
      </c>
    </row>
    <row r="330" spans="1:1" ht="21" customHeight="1" x14ac:dyDescent="0.25">
      <c r="A330" s="101" t="str">
        <f t="shared" si="4"/>
        <v/>
      </c>
    </row>
    <row r="331" spans="1:1" ht="21" customHeight="1" x14ac:dyDescent="0.25">
      <c r="A331" s="101" t="str">
        <f t="shared" si="4"/>
        <v/>
      </c>
    </row>
    <row r="332" spans="1:1" ht="21" customHeight="1" x14ac:dyDescent="0.25">
      <c r="A332" s="101" t="str">
        <f t="shared" si="4"/>
        <v/>
      </c>
    </row>
    <row r="333" spans="1:1" ht="21" customHeight="1" x14ac:dyDescent="0.25">
      <c r="A333" s="101" t="str">
        <f t="shared" si="4"/>
        <v/>
      </c>
    </row>
    <row r="334" spans="1:1" ht="21" customHeight="1" x14ac:dyDescent="0.25">
      <c r="A334" s="101" t="str">
        <f t="shared" si="4"/>
        <v/>
      </c>
    </row>
    <row r="335" spans="1:1" ht="21" customHeight="1" x14ac:dyDescent="0.25">
      <c r="A335" s="101" t="str">
        <f t="shared" si="4"/>
        <v/>
      </c>
    </row>
    <row r="336" spans="1:1" ht="21" customHeight="1" x14ac:dyDescent="0.25">
      <c r="A336" s="101" t="str">
        <f t="shared" si="4"/>
        <v/>
      </c>
    </row>
    <row r="337" spans="1:1" ht="21" customHeight="1" x14ac:dyDescent="0.25">
      <c r="A337" s="101" t="str">
        <f t="shared" ref="A337:A358" si="5">IF(B337&lt;&gt;"",A336+1,"")</f>
        <v/>
      </c>
    </row>
    <row r="338" spans="1:1" ht="21" customHeight="1" x14ac:dyDescent="0.25">
      <c r="A338" s="101" t="str">
        <f t="shared" si="5"/>
        <v/>
      </c>
    </row>
    <row r="339" spans="1:1" ht="21" customHeight="1" x14ac:dyDescent="0.25">
      <c r="A339" s="101" t="str">
        <f t="shared" si="5"/>
        <v/>
      </c>
    </row>
    <row r="340" spans="1:1" ht="21" customHeight="1" x14ac:dyDescent="0.25">
      <c r="A340" s="101" t="str">
        <f t="shared" si="5"/>
        <v/>
      </c>
    </row>
    <row r="341" spans="1:1" ht="21" customHeight="1" x14ac:dyDescent="0.25">
      <c r="A341" s="101" t="str">
        <f t="shared" si="5"/>
        <v/>
      </c>
    </row>
    <row r="342" spans="1:1" ht="21" customHeight="1" x14ac:dyDescent="0.25">
      <c r="A342" s="101" t="str">
        <f t="shared" si="5"/>
        <v/>
      </c>
    </row>
    <row r="343" spans="1:1" ht="21" customHeight="1" x14ac:dyDescent="0.25">
      <c r="A343" s="101" t="str">
        <f t="shared" si="5"/>
        <v/>
      </c>
    </row>
    <row r="344" spans="1:1" ht="21" customHeight="1" x14ac:dyDescent="0.25">
      <c r="A344" s="101" t="str">
        <f t="shared" si="5"/>
        <v/>
      </c>
    </row>
    <row r="345" spans="1:1" ht="21" customHeight="1" x14ac:dyDescent="0.25">
      <c r="A345" s="101" t="str">
        <f t="shared" si="5"/>
        <v/>
      </c>
    </row>
    <row r="346" spans="1:1" ht="21" customHeight="1" x14ac:dyDescent="0.25">
      <c r="A346" s="101" t="str">
        <f t="shared" si="5"/>
        <v/>
      </c>
    </row>
    <row r="347" spans="1:1" ht="21" customHeight="1" x14ac:dyDescent="0.25">
      <c r="A347" s="101" t="str">
        <f t="shared" si="5"/>
        <v/>
      </c>
    </row>
    <row r="348" spans="1:1" ht="21" customHeight="1" x14ac:dyDescent="0.25">
      <c r="A348" s="101" t="str">
        <f t="shared" si="5"/>
        <v/>
      </c>
    </row>
    <row r="349" spans="1:1" ht="21" customHeight="1" x14ac:dyDescent="0.25">
      <c r="A349" s="101" t="str">
        <f t="shared" si="5"/>
        <v/>
      </c>
    </row>
    <row r="350" spans="1:1" ht="21" customHeight="1" x14ac:dyDescent="0.25">
      <c r="A350" s="101" t="str">
        <f t="shared" si="5"/>
        <v/>
      </c>
    </row>
    <row r="351" spans="1:1" ht="21" customHeight="1" x14ac:dyDescent="0.25">
      <c r="A351" s="101" t="str">
        <f t="shared" si="5"/>
        <v/>
      </c>
    </row>
    <row r="352" spans="1:1" ht="21" customHeight="1" x14ac:dyDescent="0.25">
      <c r="A352" s="101" t="str">
        <f t="shared" si="5"/>
        <v/>
      </c>
    </row>
    <row r="353" spans="1:1" ht="21" customHeight="1" x14ac:dyDescent="0.25">
      <c r="A353" s="101" t="str">
        <f t="shared" si="5"/>
        <v/>
      </c>
    </row>
    <row r="354" spans="1:1" ht="21" customHeight="1" x14ac:dyDescent="0.25">
      <c r="A354" s="101" t="str">
        <f t="shared" si="5"/>
        <v/>
      </c>
    </row>
    <row r="355" spans="1:1" ht="21" customHeight="1" x14ac:dyDescent="0.25">
      <c r="A355" s="101" t="str">
        <f t="shared" si="5"/>
        <v/>
      </c>
    </row>
    <row r="356" spans="1:1" ht="21" customHeight="1" x14ac:dyDescent="0.25">
      <c r="A356" s="101" t="str">
        <f t="shared" si="5"/>
        <v/>
      </c>
    </row>
    <row r="357" spans="1:1" ht="21" customHeight="1" x14ac:dyDescent="0.25">
      <c r="A357" s="101" t="str">
        <f t="shared" si="5"/>
        <v/>
      </c>
    </row>
    <row r="358" spans="1:1" ht="21" customHeight="1" x14ac:dyDescent="0.25">
      <c r="A358" s="101" t="str">
        <f t="shared" si="5"/>
        <v/>
      </c>
    </row>
    <row r="359" spans="1:1" ht="21" customHeight="1" x14ac:dyDescent="0.25"/>
    <row r="360" spans="1:1" ht="21" customHeight="1" x14ac:dyDescent="0.25"/>
    <row r="361" spans="1:1" ht="21" customHeight="1" x14ac:dyDescent="0.25"/>
    <row r="362" spans="1:1" ht="21" customHeight="1" x14ac:dyDescent="0.25"/>
    <row r="363" spans="1:1" ht="21" customHeight="1" x14ac:dyDescent="0.25"/>
    <row r="364" spans="1:1" ht="21" customHeight="1" x14ac:dyDescent="0.25"/>
    <row r="365" spans="1:1" ht="21" customHeight="1" x14ac:dyDescent="0.25"/>
    <row r="366" spans="1:1" ht="21" customHeight="1" x14ac:dyDescent="0.25"/>
    <row r="367" spans="1:1" ht="21" customHeight="1" x14ac:dyDescent="0.25"/>
    <row r="368" spans="1:1" ht="21" customHeight="1" x14ac:dyDescent="0.25"/>
    <row r="369" ht="21" customHeight="1" x14ac:dyDescent="0.25"/>
    <row r="370" ht="21" customHeight="1" x14ac:dyDescent="0.25"/>
    <row r="371" ht="21" customHeight="1" x14ac:dyDescent="0.25"/>
    <row r="372" ht="21" customHeight="1" x14ac:dyDescent="0.25"/>
    <row r="373" ht="21" customHeight="1" x14ac:dyDescent="0.25"/>
    <row r="374" ht="21" customHeight="1" x14ac:dyDescent="0.25"/>
    <row r="375" ht="21" customHeight="1" x14ac:dyDescent="0.25"/>
    <row r="376" ht="21" customHeight="1" x14ac:dyDescent="0.25"/>
    <row r="377" ht="21" customHeight="1" x14ac:dyDescent="0.25"/>
    <row r="378" ht="21" customHeight="1" x14ac:dyDescent="0.25"/>
    <row r="379" ht="21" customHeight="1" x14ac:dyDescent="0.25"/>
    <row r="380" ht="21" customHeight="1" x14ac:dyDescent="0.25"/>
    <row r="381" ht="21" customHeight="1" x14ac:dyDescent="0.25"/>
    <row r="382" ht="21" customHeight="1" x14ac:dyDescent="0.25"/>
    <row r="383" ht="21" customHeight="1" x14ac:dyDescent="0.25"/>
    <row r="384" ht="21" customHeight="1" x14ac:dyDescent="0.25"/>
    <row r="385" ht="21" customHeight="1" x14ac:dyDescent="0.25"/>
    <row r="386" ht="21" customHeight="1" x14ac:dyDescent="0.25"/>
    <row r="387" ht="21" customHeight="1" x14ac:dyDescent="0.25"/>
    <row r="388" ht="21" customHeight="1" x14ac:dyDescent="0.25"/>
    <row r="389" ht="21" customHeight="1" x14ac:dyDescent="0.25"/>
    <row r="390" ht="21" customHeight="1" x14ac:dyDescent="0.25"/>
    <row r="391" ht="21" customHeight="1" x14ac:dyDescent="0.25"/>
    <row r="392" ht="21" customHeight="1" x14ac:dyDescent="0.25"/>
    <row r="393" ht="21" customHeight="1" x14ac:dyDescent="0.25"/>
    <row r="394" ht="21" customHeight="1" x14ac:dyDescent="0.25"/>
    <row r="395" ht="21" customHeight="1" x14ac:dyDescent="0.25"/>
    <row r="396" ht="21" customHeight="1" x14ac:dyDescent="0.25"/>
    <row r="397" ht="21" customHeight="1" x14ac:dyDescent="0.25"/>
    <row r="398" ht="21" customHeight="1" x14ac:dyDescent="0.25"/>
    <row r="399" ht="21" customHeight="1" x14ac:dyDescent="0.25"/>
    <row r="400" ht="21" customHeight="1" x14ac:dyDescent="0.25"/>
    <row r="401" ht="21" customHeight="1" x14ac:dyDescent="0.25"/>
    <row r="402" ht="21" customHeight="1" x14ac:dyDescent="0.25"/>
    <row r="403" ht="21" customHeight="1" x14ac:dyDescent="0.25"/>
    <row r="404" ht="21" customHeight="1" x14ac:dyDescent="0.25"/>
    <row r="405" ht="21" customHeight="1" x14ac:dyDescent="0.25"/>
    <row r="406" ht="21" customHeight="1" x14ac:dyDescent="0.25"/>
    <row r="407" ht="21" customHeight="1" x14ac:dyDescent="0.25"/>
    <row r="408" ht="21" customHeight="1" x14ac:dyDescent="0.25"/>
    <row r="409" ht="21" customHeight="1" x14ac:dyDescent="0.25"/>
    <row r="410" ht="21" customHeight="1" x14ac:dyDescent="0.25"/>
    <row r="411" ht="21" customHeight="1" x14ac:dyDescent="0.25"/>
    <row r="412" ht="21" customHeight="1" x14ac:dyDescent="0.25"/>
    <row r="413" ht="21" customHeight="1" x14ac:dyDescent="0.25"/>
    <row r="414" ht="21" customHeight="1" x14ac:dyDescent="0.25"/>
    <row r="415" ht="21" customHeight="1" x14ac:dyDescent="0.25"/>
    <row r="416" ht="21" customHeight="1" x14ac:dyDescent="0.25"/>
    <row r="417" ht="21" customHeight="1" x14ac:dyDescent="0.25"/>
    <row r="418" ht="21" customHeight="1" x14ac:dyDescent="0.25"/>
    <row r="419" ht="21" customHeight="1" x14ac:dyDescent="0.25"/>
    <row r="420" ht="21" customHeight="1" x14ac:dyDescent="0.25"/>
    <row r="421" ht="21" customHeight="1" x14ac:dyDescent="0.25"/>
    <row r="422" ht="21" customHeight="1" x14ac:dyDescent="0.25"/>
    <row r="423" ht="21" customHeight="1" x14ac:dyDescent="0.25"/>
    <row r="424" ht="21" customHeight="1" x14ac:dyDescent="0.25"/>
    <row r="425" ht="21" customHeight="1" x14ac:dyDescent="0.25"/>
    <row r="426" ht="21" customHeight="1" x14ac:dyDescent="0.25"/>
    <row r="427" ht="21" customHeight="1" x14ac:dyDescent="0.25"/>
    <row r="428" ht="21" customHeight="1" x14ac:dyDescent="0.25"/>
    <row r="429" ht="21" customHeight="1" x14ac:dyDescent="0.25"/>
    <row r="430" ht="21" customHeight="1" x14ac:dyDescent="0.25"/>
    <row r="431" ht="21" customHeight="1" x14ac:dyDescent="0.25"/>
    <row r="432" ht="21" customHeight="1" x14ac:dyDescent="0.25"/>
    <row r="433" ht="21" customHeight="1" x14ac:dyDescent="0.25"/>
    <row r="434" ht="21" customHeight="1" x14ac:dyDescent="0.25"/>
    <row r="435" ht="21" customHeight="1" x14ac:dyDescent="0.25"/>
    <row r="436" ht="21" customHeight="1" x14ac:dyDescent="0.25"/>
    <row r="437" ht="21" customHeight="1" x14ac:dyDescent="0.25"/>
    <row r="438" ht="21" customHeight="1" x14ac:dyDescent="0.25"/>
    <row r="439" ht="21" customHeight="1" x14ac:dyDescent="0.25"/>
    <row r="440" ht="21" customHeight="1" x14ac:dyDescent="0.25"/>
    <row r="441" ht="21" customHeight="1" x14ac:dyDescent="0.25"/>
    <row r="442" ht="21" customHeight="1" x14ac:dyDescent="0.25"/>
    <row r="443" ht="21" customHeight="1" x14ac:dyDescent="0.25"/>
    <row r="444" ht="21" customHeight="1" x14ac:dyDescent="0.25"/>
    <row r="445" ht="21" customHeight="1" x14ac:dyDescent="0.25"/>
    <row r="446" ht="21" customHeight="1" x14ac:dyDescent="0.25"/>
    <row r="447" ht="21" customHeight="1" x14ac:dyDescent="0.25"/>
    <row r="448" ht="21" customHeight="1" x14ac:dyDescent="0.25"/>
    <row r="449" ht="21" customHeight="1" x14ac:dyDescent="0.25"/>
    <row r="450" ht="21" customHeight="1" x14ac:dyDescent="0.25"/>
    <row r="451" ht="21" customHeight="1" x14ac:dyDescent="0.25"/>
    <row r="452" ht="21" customHeight="1" x14ac:dyDescent="0.25"/>
    <row r="453" ht="21" customHeight="1" x14ac:dyDescent="0.25"/>
    <row r="454" ht="21" customHeight="1" x14ac:dyDescent="0.25"/>
    <row r="455" ht="21" customHeight="1" x14ac:dyDescent="0.25"/>
    <row r="456" ht="21" customHeight="1" x14ac:dyDescent="0.25"/>
    <row r="457" ht="21" customHeight="1" x14ac:dyDescent="0.25"/>
    <row r="458" ht="21" customHeight="1" x14ac:dyDescent="0.25"/>
    <row r="459" ht="21" customHeight="1" x14ac:dyDescent="0.25"/>
    <row r="460" ht="21" customHeight="1" x14ac:dyDescent="0.25"/>
    <row r="461" ht="21" customHeight="1" x14ac:dyDescent="0.25"/>
    <row r="462" ht="21" customHeight="1" x14ac:dyDescent="0.25"/>
    <row r="463" ht="21" customHeight="1" x14ac:dyDescent="0.25"/>
    <row r="464" ht="21" customHeight="1" x14ac:dyDescent="0.25"/>
    <row r="465" ht="21" customHeight="1" x14ac:dyDescent="0.25"/>
    <row r="466" ht="21" customHeight="1" x14ac:dyDescent="0.25"/>
    <row r="467" ht="21" customHeight="1" x14ac:dyDescent="0.25"/>
    <row r="468" ht="21" customHeight="1" x14ac:dyDescent="0.25"/>
    <row r="469" ht="21" customHeight="1" x14ac:dyDescent="0.25"/>
    <row r="470" ht="21" customHeight="1" x14ac:dyDescent="0.25"/>
    <row r="471" ht="21" customHeight="1" x14ac:dyDescent="0.25"/>
    <row r="472" ht="21" customHeight="1" x14ac:dyDescent="0.25"/>
    <row r="473" ht="21" customHeight="1" x14ac:dyDescent="0.25"/>
    <row r="474" ht="21" customHeight="1" x14ac:dyDescent="0.25"/>
    <row r="475" ht="21" customHeight="1" x14ac:dyDescent="0.25"/>
    <row r="476" ht="21" customHeight="1" x14ac:dyDescent="0.25"/>
    <row r="477" ht="21" customHeight="1" x14ac:dyDescent="0.25"/>
    <row r="478" ht="21" customHeight="1" x14ac:dyDescent="0.25"/>
    <row r="479" ht="21" customHeight="1" x14ac:dyDescent="0.25"/>
    <row r="480" ht="21" customHeight="1" x14ac:dyDescent="0.25"/>
    <row r="481" ht="21" customHeight="1" x14ac:dyDescent="0.25"/>
    <row r="482" ht="21" customHeight="1" x14ac:dyDescent="0.25"/>
    <row r="483" ht="21" customHeight="1" x14ac:dyDescent="0.25"/>
    <row r="484" ht="21" customHeight="1" x14ac:dyDescent="0.25"/>
    <row r="485" ht="21" customHeight="1" x14ac:dyDescent="0.25"/>
    <row r="486" ht="21" customHeight="1" x14ac:dyDescent="0.25"/>
    <row r="487" ht="21" customHeight="1" x14ac:dyDescent="0.25"/>
    <row r="488" ht="21" customHeight="1" x14ac:dyDescent="0.25"/>
    <row r="489" ht="21" customHeight="1" x14ac:dyDescent="0.25"/>
    <row r="490" ht="21" customHeight="1" x14ac:dyDescent="0.25"/>
    <row r="491" ht="21" customHeight="1" x14ac:dyDescent="0.25"/>
    <row r="492" ht="21" customHeight="1" x14ac:dyDescent="0.25"/>
    <row r="493" ht="21" customHeight="1" x14ac:dyDescent="0.25"/>
    <row r="494" ht="21" customHeight="1" x14ac:dyDescent="0.25"/>
    <row r="495" ht="21" customHeight="1" x14ac:dyDescent="0.25"/>
    <row r="496" ht="21" customHeight="1" x14ac:dyDescent="0.25"/>
    <row r="497" ht="21" customHeight="1" x14ac:dyDescent="0.25"/>
    <row r="498" ht="21" customHeight="1" x14ac:dyDescent="0.25"/>
    <row r="499" ht="21" customHeight="1" x14ac:dyDescent="0.25"/>
    <row r="500" ht="21" customHeight="1" x14ac:dyDescent="0.25"/>
    <row r="501" ht="21" customHeight="1" x14ac:dyDescent="0.25"/>
    <row r="502" ht="21" customHeight="1" x14ac:dyDescent="0.25"/>
    <row r="503" ht="21" customHeight="1" x14ac:dyDescent="0.25"/>
    <row r="504" ht="21" customHeight="1" x14ac:dyDescent="0.25"/>
    <row r="505" ht="21" customHeight="1" x14ac:dyDescent="0.25"/>
    <row r="506" ht="21" customHeight="1" x14ac:dyDescent="0.25"/>
    <row r="507" ht="21" customHeight="1" x14ac:dyDescent="0.25"/>
    <row r="508" ht="21" customHeight="1" x14ac:dyDescent="0.25"/>
    <row r="509" ht="21" customHeight="1" x14ac:dyDescent="0.25"/>
    <row r="510" ht="21" customHeight="1" x14ac:dyDescent="0.25"/>
    <row r="511" ht="21" customHeight="1" x14ac:dyDescent="0.25"/>
    <row r="512" ht="21" customHeight="1" x14ac:dyDescent="0.25"/>
    <row r="513" ht="21" customHeight="1" x14ac:dyDescent="0.25"/>
    <row r="514" ht="21" customHeight="1" x14ac:dyDescent="0.25"/>
    <row r="515" ht="21" customHeight="1" x14ac:dyDescent="0.25"/>
    <row r="516" ht="21" customHeight="1" x14ac:dyDescent="0.25"/>
    <row r="517" ht="21" customHeight="1" x14ac:dyDescent="0.25"/>
    <row r="518" ht="21" customHeight="1" x14ac:dyDescent="0.25"/>
    <row r="519" ht="21" customHeight="1" x14ac:dyDescent="0.25"/>
    <row r="520" ht="21" customHeight="1" x14ac:dyDescent="0.25"/>
    <row r="521" ht="21" customHeight="1" x14ac:dyDescent="0.25"/>
    <row r="522" ht="21" customHeight="1" x14ac:dyDescent="0.25"/>
    <row r="523" ht="21" customHeight="1" x14ac:dyDescent="0.25"/>
    <row r="524" ht="21" customHeight="1" x14ac:dyDescent="0.25"/>
    <row r="525" ht="21" customHeight="1" x14ac:dyDescent="0.25"/>
    <row r="526" ht="21" customHeight="1" x14ac:dyDescent="0.25"/>
    <row r="527" ht="21" customHeight="1" x14ac:dyDescent="0.25"/>
    <row r="528" ht="21" customHeight="1" x14ac:dyDescent="0.25"/>
    <row r="529" ht="21" customHeight="1" x14ac:dyDescent="0.25"/>
    <row r="530" ht="21" customHeight="1" x14ac:dyDescent="0.25"/>
    <row r="531" ht="21" customHeight="1" x14ac:dyDescent="0.25"/>
    <row r="532" ht="21" customHeight="1" x14ac:dyDescent="0.25"/>
    <row r="533" ht="21" customHeight="1" x14ac:dyDescent="0.25"/>
    <row r="534" ht="21" customHeight="1" x14ac:dyDescent="0.25"/>
    <row r="535" ht="21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2E639-4118-48C8-9CE9-9F6307A2F1AF}">
  <sheetPr codeName="Sheet9"/>
  <dimension ref="A1:K2"/>
  <sheetViews>
    <sheetView workbookViewId="0">
      <selection activeCell="D18" sqref="D18"/>
    </sheetView>
  </sheetViews>
  <sheetFormatPr defaultColWidth="10.7109375" defaultRowHeight="21" customHeight="1" x14ac:dyDescent="0.25"/>
  <cols>
    <col min="1" max="1" width="10.7109375" style="101"/>
    <col min="2" max="2" width="18.7109375" style="87" customWidth="1"/>
    <col min="3" max="3" width="19" style="87" customWidth="1"/>
  </cols>
  <sheetData>
    <row r="1" spans="1:11" ht="21" customHeight="1" x14ac:dyDescent="0.25">
      <c r="A1" s="100" t="s">
        <v>167</v>
      </c>
      <c r="B1" s="100" t="s">
        <v>168</v>
      </c>
      <c r="C1" s="100" t="s">
        <v>169</v>
      </c>
      <c r="K1">
        <v>1</v>
      </c>
    </row>
    <row r="2" spans="1:11" ht="21" customHeight="1" x14ac:dyDescent="0.25">
      <c r="A2" s="101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7EA91-BA24-47F9-B092-457CBB5583F3}">
  <sheetPr codeName="Sheet11"/>
  <dimension ref="A1:AH175"/>
  <sheetViews>
    <sheetView zoomScaleNormal="100" workbookViewId="0">
      <selection activeCell="D18" sqref="D18"/>
    </sheetView>
  </sheetViews>
  <sheetFormatPr defaultColWidth="9.140625" defaultRowHeight="15" x14ac:dyDescent="0.25"/>
  <cols>
    <col min="1" max="1" width="3.7109375" style="1" customWidth="1"/>
    <col min="2" max="2" width="3.7109375" style="113" customWidth="1"/>
    <col min="3" max="3" width="21.85546875" style="101" bestFit="1" customWidth="1"/>
    <col min="4" max="4" width="22.140625" bestFit="1" customWidth="1"/>
    <col min="5" max="5" width="6.7109375" style="114" customWidth="1"/>
    <col min="6" max="6" width="21.5703125" bestFit="1" customWidth="1"/>
    <col min="7" max="7" width="10.7109375" customWidth="1"/>
    <col min="8" max="8" width="6.7109375" customWidth="1"/>
    <col min="9" max="9" width="15.140625" bestFit="1" customWidth="1"/>
    <col min="10" max="10" width="16.28515625" bestFit="1" customWidth="1"/>
    <col min="11" max="12" width="7.7109375" customWidth="1"/>
    <col min="13" max="26" width="11.7109375" style="1" customWidth="1"/>
    <col min="27" max="33" width="9.140625" style="1"/>
    <col min="34" max="34" width="9.140625" style="5"/>
    <col min="35" max="16384" width="9.140625" style="15"/>
  </cols>
  <sheetData>
    <row r="1" spans="1:33" s="5" customFormat="1" ht="15" customHeight="1" thickBot="1" x14ac:dyDescent="0.3">
      <c r="A1" s="1"/>
      <c r="B1" s="2"/>
      <c r="C1" s="3"/>
      <c r="D1" s="1"/>
      <c r="E1" s="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84.95" customHeight="1" thickBot="1" x14ac:dyDescent="0.3">
      <c r="A2" s="5"/>
      <c r="B2" s="10"/>
      <c r="C2" s="11"/>
      <c r="D2" s="12"/>
      <c r="E2" s="13"/>
      <c r="F2" s="12"/>
      <c r="G2" s="12"/>
      <c r="H2" s="12"/>
      <c r="I2" s="12"/>
      <c r="J2" s="12"/>
      <c r="K2" s="12"/>
      <c r="L2" s="14"/>
    </row>
    <row r="3" spans="1:33" ht="30" customHeight="1" thickBot="1" x14ac:dyDescent="0.3">
      <c r="A3" s="5"/>
      <c r="B3" s="116" t="s">
        <v>11</v>
      </c>
      <c r="C3" s="117"/>
      <c r="D3" s="117"/>
      <c r="E3" s="117"/>
      <c r="F3" s="117"/>
      <c r="G3" s="117"/>
      <c r="H3" s="117"/>
      <c r="I3" s="117"/>
      <c r="J3" s="117"/>
      <c r="K3" s="20" t="s">
        <v>12</v>
      </c>
      <c r="L3" s="21">
        <v>0</v>
      </c>
      <c r="M3" s="22"/>
      <c r="N3" s="22"/>
      <c r="O3" s="125"/>
      <c r="P3" s="125"/>
    </row>
    <row r="4" spans="1:33" ht="15" customHeight="1" x14ac:dyDescent="0.25">
      <c r="A4" s="15"/>
      <c r="B4" s="24"/>
      <c r="C4" s="25"/>
      <c r="D4" s="25"/>
      <c r="E4" s="25"/>
      <c r="F4" s="25"/>
      <c r="G4" s="25"/>
      <c r="H4" s="25"/>
      <c r="I4" s="25"/>
      <c r="J4" s="25"/>
      <c r="K4" s="26"/>
      <c r="L4" s="27"/>
      <c r="N4" s="22"/>
      <c r="O4" s="28"/>
    </row>
    <row r="5" spans="1:33" ht="20.100000000000001" customHeight="1" x14ac:dyDescent="0.25">
      <c r="A5" s="15"/>
      <c r="B5" s="29"/>
      <c r="C5" s="126" t="s">
        <v>17</v>
      </c>
      <c r="D5" s="126"/>
      <c r="E5" s="30"/>
      <c r="F5" s="127" t="s">
        <v>18</v>
      </c>
      <c r="G5" s="128"/>
      <c r="H5" s="30"/>
      <c r="I5" s="129" t="s">
        <v>170</v>
      </c>
      <c r="J5" s="130"/>
      <c r="K5" s="31"/>
      <c r="L5" s="32"/>
      <c r="N5" s="22"/>
      <c r="O5" s="28"/>
    </row>
    <row r="6" spans="1:33" ht="20.100000000000001" customHeight="1" x14ac:dyDescent="0.25">
      <c r="A6" s="5"/>
      <c r="B6" s="34"/>
      <c r="C6" s="103" t="s">
        <v>9</v>
      </c>
      <c r="D6" s="36">
        <v>1234569</v>
      </c>
      <c r="E6" s="31"/>
      <c r="F6" s="103" t="s">
        <v>24</v>
      </c>
      <c r="G6" s="37"/>
      <c r="H6" s="31"/>
      <c r="I6" s="104" t="s">
        <v>171</v>
      </c>
      <c r="J6" s="104" t="s">
        <v>172</v>
      </c>
      <c r="K6" s="31"/>
      <c r="L6" s="32"/>
    </row>
    <row r="7" spans="1:33" ht="20.100000000000001" customHeight="1" x14ac:dyDescent="0.25">
      <c r="B7" s="34"/>
      <c r="C7" s="103" t="s">
        <v>13</v>
      </c>
      <c r="D7" s="36">
        <v>1234569</v>
      </c>
      <c r="E7" s="31"/>
      <c r="F7" s="103" t="s">
        <v>118</v>
      </c>
      <c r="G7" s="39"/>
      <c r="H7" s="31"/>
      <c r="I7" s="105"/>
      <c r="J7" s="106"/>
      <c r="K7" s="31"/>
      <c r="L7" s="32"/>
    </row>
    <row r="8" spans="1:33" ht="20.100000000000001" customHeight="1" x14ac:dyDescent="0.25">
      <c r="B8" s="34"/>
      <c r="C8" s="107" t="s">
        <v>15</v>
      </c>
      <c r="D8" s="37" t="s">
        <v>35</v>
      </c>
      <c r="E8" s="31"/>
      <c r="F8" s="103" t="s">
        <v>121</v>
      </c>
      <c r="G8" s="39"/>
      <c r="H8" s="31"/>
      <c r="I8" s="105"/>
      <c r="J8" s="106"/>
      <c r="K8" s="31"/>
      <c r="L8" s="32"/>
    </row>
    <row r="9" spans="1:33" ht="20.100000000000001" customHeight="1" x14ac:dyDescent="0.25">
      <c r="B9" s="34"/>
      <c r="C9" s="41"/>
      <c r="D9" s="42"/>
      <c r="E9" s="31"/>
      <c r="F9" s="43"/>
      <c r="G9" s="44"/>
      <c r="H9" s="31"/>
      <c r="I9" s="105" t="s">
        <v>41</v>
      </c>
      <c r="J9" s="106"/>
      <c r="K9" s="31"/>
      <c r="L9" s="32"/>
    </row>
    <row r="10" spans="1:33" ht="20.100000000000001" customHeight="1" x14ac:dyDescent="0.25">
      <c r="B10" s="34"/>
      <c r="C10" s="131" t="s">
        <v>45</v>
      </c>
      <c r="D10" s="132"/>
      <c r="E10" s="31"/>
      <c r="F10" s="119" t="s">
        <v>46</v>
      </c>
      <c r="G10" s="120"/>
      <c r="H10" s="31"/>
      <c r="I10" s="105"/>
      <c r="J10" s="106"/>
      <c r="K10" s="31"/>
      <c r="L10" s="32"/>
    </row>
    <row r="11" spans="1:33" ht="20.100000000000001" customHeight="1" x14ac:dyDescent="0.25">
      <c r="B11" s="34"/>
      <c r="C11" s="103" t="s">
        <v>22</v>
      </c>
      <c r="D11" s="37" t="s">
        <v>49</v>
      </c>
      <c r="E11" s="31"/>
      <c r="F11" s="46" t="s">
        <v>124</v>
      </c>
      <c r="G11" s="39"/>
      <c r="H11" s="31"/>
      <c r="I11" s="47"/>
      <c r="J11" s="47"/>
      <c r="K11" s="31"/>
      <c r="L11" s="32"/>
    </row>
    <row r="12" spans="1:33" ht="20.100000000000001" customHeight="1" x14ac:dyDescent="0.25">
      <c r="B12" s="34"/>
      <c r="C12" s="103" t="s">
        <v>29</v>
      </c>
      <c r="D12" s="37" t="s">
        <v>54</v>
      </c>
      <c r="E12" s="31"/>
      <c r="F12" s="46" t="s">
        <v>127</v>
      </c>
      <c r="G12" s="39"/>
      <c r="H12" s="31"/>
      <c r="I12" s="31"/>
      <c r="J12" s="31"/>
      <c r="K12" s="31"/>
      <c r="L12" s="32"/>
    </row>
    <row r="13" spans="1:33" ht="20.100000000000001" customHeight="1" x14ac:dyDescent="0.25">
      <c r="B13" s="34"/>
      <c r="C13" s="103" t="s">
        <v>33</v>
      </c>
      <c r="D13" s="37" t="s">
        <v>58</v>
      </c>
      <c r="E13" s="31"/>
      <c r="F13" s="48"/>
      <c r="G13" s="49"/>
      <c r="H13" s="31"/>
      <c r="I13" s="47"/>
      <c r="J13" s="47"/>
      <c r="K13" s="31"/>
      <c r="L13" s="32"/>
    </row>
    <row r="14" spans="1:33" ht="20.100000000000001" customHeight="1" x14ac:dyDescent="0.25">
      <c r="B14" s="34"/>
      <c r="C14" s="103" t="s">
        <v>39</v>
      </c>
      <c r="D14" s="39">
        <v>200</v>
      </c>
      <c r="E14" s="31"/>
      <c r="F14" s="48"/>
      <c r="G14" s="49"/>
      <c r="H14" s="31"/>
      <c r="I14" s="47"/>
      <c r="J14" s="47"/>
      <c r="K14" s="31"/>
      <c r="L14" s="32"/>
    </row>
    <row r="15" spans="1:33" ht="20.100000000000001" customHeight="1" x14ac:dyDescent="0.25">
      <c r="B15" s="34"/>
      <c r="C15" s="103" t="s">
        <v>43</v>
      </c>
      <c r="D15" s="37" t="s">
        <v>64</v>
      </c>
      <c r="E15" s="31"/>
      <c r="F15" s="48"/>
      <c r="G15" s="49"/>
      <c r="H15" s="31"/>
      <c r="I15" s="47"/>
      <c r="J15" s="47"/>
      <c r="K15" s="31"/>
      <c r="L15" s="32"/>
    </row>
    <row r="16" spans="1:33" ht="20.100000000000001" customHeight="1" x14ac:dyDescent="0.25">
      <c r="B16" s="34"/>
      <c r="C16" s="48"/>
      <c r="D16" s="48"/>
      <c r="E16" s="31"/>
      <c r="F16" s="48"/>
      <c r="G16" s="49"/>
      <c r="H16" s="31"/>
      <c r="I16" s="47"/>
      <c r="J16" s="47"/>
      <c r="K16" s="31"/>
      <c r="L16" s="32"/>
    </row>
    <row r="17" spans="1:34" ht="20.100000000000001" customHeight="1" x14ac:dyDescent="0.25">
      <c r="B17" s="34"/>
      <c r="C17" s="122" t="s">
        <v>69</v>
      </c>
      <c r="D17" s="123"/>
      <c r="E17" s="31"/>
      <c r="F17" s="48"/>
      <c r="G17" s="49"/>
      <c r="H17" s="31"/>
      <c r="I17" s="47"/>
      <c r="J17" s="47"/>
      <c r="K17" s="31"/>
      <c r="L17" s="32"/>
    </row>
    <row r="18" spans="1:34" ht="20.100000000000001" customHeight="1" x14ac:dyDescent="0.25">
      <c r="B18" s="34"/>
      <c r="C18" s="35" t="s">
        <v>47</v>
      </c>
      <c r="D18" s="51">
        <v>1234569</v>
      </c>
      <c r="E18" s="31"/>
      <c r="F18" s="48"/>
      <c r="G18" s="49"/>
      <c r="H18" s="31"/>
      <c r="I18" s="47"/>
      <c r="J18" s="47"/>
      <c r="K18" s="31"/>
      <c r="L18" s="32"/>
    </row>
    <row r="19" spans="1:34" s="60" customFormat="1" x14ac:dyDescent="0.25">
      <c r="A19" s="52"/>
      <c r="B19" s="34"/>
      <c r="C19" s="35" t="s">
        <v>52</v>
      </c>
      <c r="D19" s="51" t="s">
        <v>74</v>
      </c>
      <c r="E19" s="31"/>
      <c r="F19" s="48"/>
      <c r="G19" s="49"/>
      <c r="H19" s="31"/>
      <c r="I19" s="47"/>
      <c r="J19" s="47"/>
      <c r="K19" s="31"/>
      <c r="L19" s="3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9"/>
    </row>
    <row r="20" spans="1:34" ht="20.100000000000001" customHeight="1" x14ac:dyDescent="0.25">
      <c r="B20" s="34"/>
      <c r="C20" s="35" t="s">
        <v>56</v>
      </c>
      <c r="D20" s="51" t="s">
        <v>77</v>
      </c>
      <c r="E20" s="31"/>
      <c r="F20" s="48"/>
      <c r="G20" s="49"/>
      <c r="H20" s="31"/>
      <c r="I20" s="47"/>
      <c r="J20" s="47"/>
      <c r="K20" s="31"/>
      <c r="L20" s="32"/>
    </row>
    <row r="21" spans="1:34" ht="20.100000000000001" customHeight="1" x14ac:dyDescent="0.25">
      <c r="B21" s="34"/>
      <c r="C21" s="35" t="s">
        <v>59</v>
      </c>
      <c r="D21" s="62" t="s">
        <v>80</v>
      </c>
      <c r="E21" s="31"/>
      <c r="F21" s="48"/>
      <c r="G21" s="49"/>
      <c r="H21" s="31"/>
      <c r="I21" s="47"/>
      <c r="J21" s="47"/>
      <c r="K21" s="31"/>
      <c r="L21" s="32"/>
    </row>
    <row r="22" spans="1:34" ht="20.100000000000001" customHeight="1" x14ac:dyDescent="0.25">
      <c r="B22" s="34"/>
      <c r="C22" s="35" t="s">
        <v>62</v>
      </c>
      <c r="D22" s="108">
        <v>44419</v>
      </c>
      <c r="E22" s="31"/>
      <c r="F22" s="48"/>
      <c r="G22" s="49"/>
      <c r="H22" s="31"/>
      <c r="I22" s="47"/>
      <c r="J22" s="47"/>
      <c r="K22" s="31"/>
      <c r="L22" s="32"/>
    </row>
    <row r="23" spans="1:34" ht="20.100000000000001" customHeight="1" x14ac:dyDescent="0.25">
      <c r="B23" s="34"/>
      <c r="C23" s="35" t="s">
        <v>65</v>
      </c>
      <c r="D23" s="108">
        <v>44419</v>
      </c>
      <c r="E23" s="31"/>
      <c r="F23" s="48"/>
      <c r="G23" s="49"/>
      <c r="H23" s="31"/>
      <c r="I23" s="47"/>
      <c r="J23" s="47"/>
      <c r="K23" s="31"/>
      <c r="L23" s="32"/>
    </row>
    <row r="24" spans="1:34" ht="20.100000000000001" customHeight="1" x14ac:dyDescent="0.25">
      <c r="B24" s="34"/>
      <c r="C24" s="35" t="s">
        <v>67</v>
      </c>
      <c r="D24" s="108">
        <v>44419</v>
      </c>
      <c r="E24" s="31"/>
      <c r="F24" s="48"/>
      <c r="G24" s="49"/>
      <c r="H24" s="31"/>
      <c r="I24" s="47"/>
      <c r="J24" s="47"/>
      <c r="K24" s="31"/>
      <c r="L24" s="32"/>
    </row>
    <row r="25" spans="1:34" ht="20.100000000000001" customHeight="1" x14ac:dyDescent="0.25">
      <c r="B25" s="34"/>
      <c r="C25" s="48"/>
      <c r="D25" s="50"/>
      <c r="E25" s="31"/>
      <c r="F25" s="48"/>
      <c r="G25" s="50"/>
      <c r="H25" s="31"/>
      <c r="I25" s="47"/>
      <c r="J25" s="47"/>
      <c r="K25" s="31"/>
      <c r="L25" s="32"/>
    </row>
    <row r="26" spans="1:34" ht="20.100000000000001" customHeight="1" x14ac:dyDescent="0.25">
      <c r="B26" s="34"/>
      <c r="C26" s="131" t="s">
        <v>11</v>
      </c>
      <c r="D26" s="132"/>
      <c r="E26" s="31"/>
      <c r="F26" s="48"/>
      <c r="G26" s="50"/>
      <c r="H26" s="31"/>
      <c r="I26" s="47"/>
      <c r="J26" s="47"/>
      <c r="K26" s="31"/>
      <c r="L26" s="32"/>
    </row>
    <row r="27" spans="1:34" ht="20.100000000000001" customHeight="1" x14ac:dyDescent="0.25">
      <c r="B27" s="34"/>
      <c r="C27" s="109" t="s">
        <v>70</v>
      </c>
      <c r="D27" s="37" t="s">
        <v>96</v>
      </c>
      <c r="E27" s="31"/>
      <c r="F27" s="48"/>
      <c r="G27" s="50"/>
      <c r="H27" s="31"/>
      <c r="I27" s="47"/>
      <c r="J27" s="47"/>
      <c r="K27" s="31"/>
      <c r="L27" s="32"/>
    </row>
    <row r="28" spans="1:34" ht="30" x14ac:dyDescent="0.25">
      <c r="B28" s="53"/>
      <c r="C28" s="110" t="s">
        <v>72</v>
      </c>
      <c r="D28" s="66"/>
      <c r="E28" s="54"/>
      <c r="F28" s="55"/>
      <c r="G28" s="56"/>
      <c r="H28" s="54"/>
      <c r="I28" s="57"/>
      <c r="J28" s="57"/>
      <c r="K28" s="54"/>
      <c r="L28" s="58"/>
    </row>
    <row r="29" spans="1:34" ht="20.100000000000001" customHeight="1" x14ac:dyDescent="0.25">
      <c r="B29" s="34"/>
      <c r="C29" s="103" t="s">
        <v>75</v>
      </c>
      <c r="D29" s="70"/>
      <c r="E29" s="31"/>
      <c r="F29" s="48"/>
      <c r="G29" s="50"/>
      <c r="H29" s="31"/>
      <c r="I29" s="47"/>
      <c r="J29" s="47"/>
      <c r="K29" s="31"/>
      <c r="L29" s="32"/>
    </row>
    <row r="30" spans="1:34" ht="20.100000000000001" customHeight="1" x14ac:dyDescent="0.25">
      <c r="B30" s="34"/>
      <c r="C30" s="103" t="s">
        <v>78</v>
      </c>
      <c r="D30" s="39">
        <v>600</v>
      </c>
      <c r="E30" s="31"/>
      <c r="F30" s="48"/>
      <c r="G30" s="50"/>
      <c r="H30" s="31"/>
      <c r="I30" s="47"/>
      <c r="J30" s="47"/>
      <c r="K30" s="31"/>
      <c r="L30" s="32"/>
    </row>
    <row r="31" spans="1:34" ht="20.100000000000001" customHeight="1" x14ac:dyDescent="0.25">
      <c r="B31" s="34"/>
      <c r="C31" s="103" t="s">
        <v>81</v>
      </c>
      <c r="D31" s="39"/>
      <c r="E31" s="31"/>
      <c r="F31" s="48"/>
      <c r="G31" s="48"/>
      <c r="H31" s="48"/>
      <c r="I31" s="48"/>
      <c r="J31" s="48"/>
      <c r="K31" s="31"/>
      <c r="L31" s="32"/>
    </row>
    <row r="32" spans="1:34" ht="20.100000000000001" customHeight="1" x14ac:dyDescent="0.25">
      <c r="B32" s="34"/>
      <c r="C32" s="103" t="s">
        <v>84</v>
      </c>
      <c r="D32" s="39"/>
      <c r="E32" s="31"/>
      <c r="F32" s="48"/>
      <c r="G32" s="48"/>
      <c r="H32" s="48"/>
      <c r="I32" s="48"/>
      <c r="J32" s="48"/>
      <c r="K32" s="31"/>
      <c r="L32" s="32"/>
    </row>
    <row r="33" spans="1:33" ht="20.100000000000001" customHeight="1" x14ac:dyDescent="0.25">
      <c r="B33" s="34"/>
      <c r="C33" s="103" t="s">
        <v>87</v>
      </c>
      <c r="D33" s="39"/>
      <c r="E33" s="31"/>
      <c r="F33" s="48"/>
      <c r="G33" s="48"/>
      <c r="H33" s="48"/>
      <c r="I33" s="48"/>
      <c r="J33" s="48"/>
      <c r="K33" s="31"/>
      <c r="L33" s="32"/>
    </row>
    <row r="34" spans="1:33" ht="20.100000000000001" customHeight="1" x14ac:dyDescent="0.25">
      <c r="B34" s="34"/>
      <c r="C34" s="31"/>
      <c r="D34" s="31"/>
      <c r="E34" s="31"/>
      <c r="F34" s="48"/>
      <c r="G34" s="48"/>
      <c r="H34" s="48"/>
      <c r="I34" s="48"/>
      <c r="J34" s="48"/>
      <c r="K34" s="31"/>
      <c r="L34" s="32"/>
    </row>
    <row r="35" spans="1:33" ht="20.100000000000001" customHeight="1" x14ac:dyDescent="0.25">
      <c r="B35" s="34"/>
      <c r="C35" s="131" t="s">
        <v>114</v>
      </c>
      <c r="D35" s="132"/>
      <c r="E35" s="31"/>
      <c r="F35" s="48"/>
      <c r="G35" s="48"/>
      <c r="H35" s="48"/>
      <c r="I35" s="48"/>
      <c r="J35" s="48"/>
      <c r="K35" s="31"/>
      <c r="L35" s="32"/>
    </row>
    <row r="36" spans="1:33" ht="20.100000000000001" customHeight="1" x14ac:dyDescent="0.25">
      <c r="B36" s="34"/>
      <c r="C36" s="103" t="s">
        <v>90</v>
      </c>
      <c r="D36" s="70"/>
      <c r="E36" s="31"/>
      <c r="F36" s="48"/>
      <c r="G36" s="50"/>
      <c r="H36" s="31"/>
      <c r="I36" s="47"/>
      <c r="J36" s="47"/>
      <c r="K36" s="31"/>
      <c r="L36" s="32"/>
    </row>
    <row r="37" spans="1:33" ht="20.100000000000001" customHeight="1" x14ac:dyDescent="0.25">
      <c r="B37" s="34"/>
      <c r="C37" s="103" t="s">
        <v>92</v>
      </c>
      <c r="D37" s="71"/>
      <c r="E37" s="31"/>
      <c r="F37" s="48"/>
      <c r="G37" s="50"/>
      <c r="H37" s="31"/>
      <c r="I37" s="47"/>
      <c r="J37" s="47"/>
      <c r="K37" s="31"/>
      <c r="L37" s="32"/>
    </row>
    <row r="38" spans="1:33" ht="20.100000000000001" customHeight="1" x14ac:dyDescent="0.25">
      <c r="B38" s="34"/>
      <c r="C38" s="103" t="s">
        <v>94</v>
      </c>
      <c r="D38" s="71"/>
      <c r="E38" s="31"/>
      <c r="F38" s="48"/>
      <c r="G38" s="50"/>
      <c r="H38" s="31"/>
      <c r="I38" s="47"/>
      <c r="J38" s="47"/>
      <c r="K38" s="31"/>
      <c r="L38" s="32"/>
    </row>
    <row r="39" spans="1:33" ht="20.100000000000001" customHeight="1" x14ac:dyDescent="0.25">
      <c r="B39" s="34"/>
      <c r="C39" s="103" t="s">
        <v>97</v>
      </c>
      <c r="D39" s="71">
        <v>3.3</v>
      </c>
      <c r="E39" s="31"/>
      <c r="F39" s="48"/>
      <c r="G39" s="50"/>
      <c r="H39" s="31"/>
      <c r="I39" s="47"/>
      <c r="J39" s="47"/>
      <c r="K39" s="31"/>
      <c r="L39" s="32"/>
    </row>
    <row r="40" spans="1:33" ht="20.100000000000001" customHeight="1" x14ac:dyDescent="0.25">
      <c r="B40" s="34"/>
      <c r="C40" s="103" t="s">
        <v>99</v>
      </c>
      <c r="D40" s="71"/>
      <c r="E40" s="31"/>
      <c r="F40" s="31"/>
      <c r="G40" s="31"/>
      <c r="H40" s="31"/>
      <c r="I40" s="47"/>
      <c r="J40" s="47"/>
      <c r="K40" s="31"/>
      <c r="L40" s="32"/>
    </row>
    <row r="41" spans="1:33" ht="20.100000000000001" customHeight="1" x14ac:dyDescent="0.25">
      <c r="B41" s="34"/>
      <c r="C41" s="103" t="s">
        <v>101</v>
      </c>
      <c r="D41" s="71"/>
      <c r="E41" s="31"/>
      <c r="F41" s="68"/>
      <c r="G41" s="69"/>
      <c r="H41" s="31"/>
      <c r="I41" s="47"/>
      <c r="J41" s="47"/>
      <c r="K41" s="31"/>
      <c r="L41" s="3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</row>
    <row r="42" spans="1:33" ht="20.100000000000001" customHeight="1" x14ac:dyDescent="0.25">
      <c r="B42" s="34"/>
      <c r="C42" s="103" t="s">
        <v>104</v>
      </c>
      <c r="D42" s="71"/>
      <c r="E42" s="31"/>
      <c r="F42" s="48"/>
      <c r="G42" s="50"/>
      <c r="H42" s="31"/>
      <c r="I42" s="47"/>
      <c r="J42" s="47"/>
      <c r="K42" s="31"/>
      <c r="L42" s="32"/>
    </row>
    <row r="43" spans="1:33" ht="20.100000000000001" customHeight="1" x14ac:dyDescent="0.25">
      <c r="B43" s="34"/>
      <c r="C43" s="31"/>
      <c r="D43" s="31"/>
      <c r="E43" s="31"/>
      <c r="F43" s="48"/>
      <c r="G43" s="50"/>
      <c r="H43" s="31"/>
      <c r="I43" s="47"/>
      <c r="J43" s="47"/>
      <c r="K43" s="31"/>
      <c r="L43" s="32"/>
    </row>
    <row r="44" spans="1:33" ht="20.100000000000001" customHeight="1" x14ac:dyDescent="0.25">
      <c r="B44" s="34"/>
      <c r="C44" s="131" t="s">
        <v>133</v>
      </c>
      <c r="D44" s="132"/>
      <c r="E44" s="31"/>
      <c r="F44" s="48"/>
      <c r="G44" s="50"/>
      <c r="H44" s="31"/>
      <c r="I44" s="47"/>
      <c r="J44" s="47"/>
      <c r="K44" s="31"/>
      <c r="L44" s="32"/>
    </row>
    <row r="45" spans="1:33" ht="20.100000000000001" customHeight="1" x14ac:dyDescent="0.25">
      <c r="B45" s="34"/>
      <c r="C45" s="103" t="s">
        <v>173</v>
      </c>
      <c r="D45" s="111">
        <v>0</v>
      </c>
      <c r="E45" s="31"/>
      <c r="F45" s="48"/>
      <c r="G45" s="50"/>
      <c r="H45" s="31"/>
      <c r="I45" s="47"/>
      <c r="J45" s="47"/>
      <c r="K45" s="31"/>
      <c r="L45" s="32"/>
    </row>
    <row r="46" spans="1:33" s="5" customFormat="1" ht="20.100000000000001" customHeight="1" x14ac:dyDescent="0.25">
      <c r="A46" s="1"/>
      <c r="B46" s="34"/>
      <c r="C46" s="103" t="s">
        <v>174</v>
      </c>
      <c r="D46" s="111">
        <v>0</v>
      </c>
      <c r="E46" s="31"/>
      <c r="F46" s="48"/>
      <c r="G46" s="50"/>
      <c r="H46" s="31"/>
      <c r="I46" s="47"/>
      <c r="J46" s="47"/>
      <c r="K46" s="31"/>
      <c r="L46" s="32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s="5" customFormat="1" ht="20.100000000000001" customHeight="1" x14ac:dyDescent="0.25">
      <c r="A47" s="1"/>
      <c r="B47" s="34"/>
      <c r="C47" s="103" t="s">
        <v>175</v>
      </c>
      <c r="D47" s="111"/>
      <c r="E47" s="31"/>
      <c r="F47" s="72"/>
      <c r="G47" s="50"/>
      <c r="H47" s="31"/>
      <c r="I47" s="50"/>
      <c r="J47" s="50"/>
      <c r="K47" s="31"/>
      <c r="L47" s="32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s="5" customFormat="1" ht="20.100000000000001" customHeight="1" x14ac:dyDescent="0.25">
      <c r="A48" s="1"/>
      <c r="B48" s="34"/>
      <c r="C48" s="103" t="s">
        <v>176</v>
      </c>
      <c r="D48" s="111"/>
      <c r="E48" s="48"/>
      <c r="F48" s="48"/>
      <c r="G48" s="48"/>
      <c r="H48" s="48"/>
      <c r="I48" s="48"/>
      <c r="J48" s="48"/>
      <c r="K48" s="31"/>
      <c r="L48" s="32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s="5" customFormat="1" ht="20.100000000000001" customHeight="1" x14ac:dyDescent="0.25">
      <c r="A49" s="1"/>
      <c r="B49" s="34"/>
      <c r="C49" s="103" t="s">
        <v>177</v>
      </c>
      <c r="D49" s="111"/>
      <c r="E49" s="48"/>
      <c r="F49" s="48"/>
      <c r="G49" s="48"/>
      <c r="H49" s="48"/>
      <c r="I49" s="48"/>
      <c r="J49" s="48"/>
      <c r="K49" s="31"/>
      <c r="L49" s="32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s="5" customFormat="1" ht="20.100000000000001" customHeight="1" thickBot="1" x14ac:dyDescent="0.3">
      <c r="A50" s="1"/>
      <c r="B50" s="79"/>
      <c r="C50" s="80"/>
      <c r="D50" s="80" t="s">
        <v>178</v>
      </c>
      <c r="E50" s="80"/>
      <c r="F50" s="80"/>
      <c r="G50" s="80"/>
      <c r="H50" s="80"/>
      <c r="I50" s="80"/>
      <c r="J50" s="80"/>
      <c r="K50" s="80"/>
      <c r="L50" s="112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s="5" customFormat="1" ht="20.100000000000001" customHeight="1" x14ac:dyDescent="0.25">
      <c r="A51" s="1"/>
      <c r="B51" s="2"/>
      <c r="C51" s="2"/>
      <c r="D51" s="3"/>
      <c r="E51" s="4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s="5" customFormat="1" ht="20.100000000000001" customHeight="1" x14ac:dyDescent="0.25">
      <c r="A52" s="1"/>
      <c r="B52" s="2"/>
      <c r="C52" s="3"/>
      <c r="D52" s="1"/>
      <c r="E52" s="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s="5" customFormat="1" ht="20.100000000000001" customHeight="1" x14ac:dyDescent="0.25">
      <c r="A53" s="1"/>
      <c r="B53" s="2"/>
      <c r="C53" s="3"/>
      <c r="D53" s="1"/>
      <c r="E53" s="4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s="5" customFormat="1" ht="20.100000000000001" customHeight="1" x14ac:dyDescent="0.25">
      <c r="A54" s="1"/>
      <c r="B54" s="2"/>
      <c r="C54" s="3"/>
      <c r="D54" s="1"/>
      <c r="E54" s="4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s="5" customFormat="1" ht="20.100000000000001" customHeight="1" x14ac:dyDescent="0.25">
      <c r="A55" s="1"/>
      <c r="B55" s="2"/>
      <c r="C55" s="3"/>
      <c r="D55" s="1"/>
      <c r="E55" s="4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s="5" customFormat="1" ht="20.100000000000001" customHeight="1" x14ac:dyDescent="0.25">
      <c r="A56" s="1"/>
      <c r="B56" s="2"/>
      <c r="C56" s="3"/>
      <c r="D56" s="1"/>
      <c r="E56" s="4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s="5" customFormat="1" ht="20.100000000000001" customHeight="1" x14ac:dyDescent="0.25">
      <c r="A57" s="1"/>
      <c r="B57" s="2"/>
      <c r="C57" s="3"/>
      <c r="D57" s="1"/>
      <c r="E57" s="4"/>
      <c r="F57" s="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s="5" customFormat="1" x14ac:dyDescent="0.25">
      <c r="A58" s="1"/>
      <c r="B58" s="2"/>
      <c r="C58" s="3"/>
      <c r="D58" s="1"/>
      <c r="E58" s="4"/>
      <c r="F58" s="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s="5" customFormat="1" x14ac:dyDescent="0.25">
      <c r="A59" s="1"/>
      <c r="B59" s="2"/>
      <c r="C59" s="3"/>
      <c r="D59" s="1"/>
      <c r="E59" s="4"/>
      <c r="F59" s="4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5">
      <c r="B60" s="2"/>
      <c r="C60" s="2"/>
      <c r="D60" s="3"/>
      <c r="E60" s="1"/>
      <c r="F60" s="4"/>
      <c r="G60" s="1"/>
      <c r="H60" s="1"/>
      <c r="I60" s="1"/>
      <c r="J60" s="1"/>
      <c r="K60" s="1"/>
      <c r="L60" s="1"/>
    </row>
    <row r="61" spans="1:33" x14ac:dyDescent="0.25">
      <c r="B61" s="2"/>
      <c r="C61" s="2"/>
      <c r="D61" s="85"/>
      <c r="E61" s="1"/>
      <c r="F61" s="4"/>
      <c r="G61" s="1"/>
      <c r="H61" s="1"/>
      <c r="I61" s="1"/>
      <c r="J61" s="1"/>
      <c r="K61" s="1"/>
      <c r="L61" s="1"/>
    </row>
    <row r="62" spans="1:33" x14ac:dyDescent="0.25">
      <c r="B62" s="2"/>
      <c r="C62" s="2"/>
      <c r="D62" s="86"/>
      <c r="E62" s="1"/>
      <c r="F62" s="4"/>
      <c r="G62" s="1"/>
      <c r="H62" s="1"/>
      <c r="I62" s="1"/>
      <c r="J62" s="1"/>
      <c r="K62" s="1"/>
      <c r="L62" s="1"/>
    </row>
    <row r="63" spans="1:33" x14ac:dyDescent="0.25">
      <c r="B63" s="2"/>
      <c r="C63" s="2"/>
      <c r="D63" s="86"/>
      <c r="E63" s="1"/>
      <c r="F63" s="4"/>
      <c r="G63" s="1"/>
      <c r="H63" s="1"/>
      <c r="I63" s="1"/>
      <c r="J63" s="1"/>
      <c r="K63" s="1"/>
      <c r="L63" s="1"/>
    </row>
    <row r="64" spans="1:33" x14ac:dyDescent="0.25">
      <c r="B64" s="2"/>
      <c r="C64" s="2"/>
      <c r="D64" s="86"/>
      <c r="E64" s="1"/>
      <c r="F64" s="4"/>
      <c r="G64" s="1"/>
      <c r="H64" s="1"/>
      <c r="I64" s="1"/>
      <c r="J64" s="1"/>
      <c r="K64" s="1"/>
      <c r="L64" s="1"/>
    </row>
    <row r="65" spans="2:12" x14ac:dyDescent="0.25">
      <c r="B65" s="2"/>
      <c r="C65" s="2"/>
      <c r="D65" s="86"/>
      <c r="E65" s="1"/>
      <c r="F65" s="4"/>
      <c r="G65" s="1"/>
      <c r="H65" s="1"/>
      <c r="I65" s="1"/>
      <c r="J65" s="1"/>
      <c r="K65" s="1"/>
      <c r="L65" s="1"/>
    </row>
    <row r="66" spans="2:12" x14ac:dyDescent="0.25">
      <c r="B66" s="2"/>
      <c r="C66" s="2"/>
      <c r="D66" s="86"/>
      <c r="E66" s="1"/>
      <c r="F66" s="4"/>
      <c r="G66" s="1"/>
      <c r="H66" s="1"/>
      <c r="I66" s="1"/>
      <c r="J66" s="1"/>
      <c r="K66" s="1"/>
      <c r="L66" s="1"/>
    </row>
    <row r="67" spans="2:12" x14ac:dyDescent="0.25">
      <c r="B67" s="2"/>
      <c r="C67" s="2"/>
      <c r="D67" s="86"/>
      <c r="E67" s="1"/>
      <c r="F67" s="4"/>
      <c r="G67" s="1"/>
      <c r="H67" s="1"/>
      <c r="I67" s="1"/>
      <c r="J67" s="1"/>
      <c r="K67" s="1"/>
      <c r="L67" s="1"/>
    </row>
    <row r="68" spans="2:12" x14ac:dyDescent="0.25">
      <c r="B68" s="2"/>
      <c r="C68" s="2"/>
      <c r="D68" s="86"/>
      <c r="E68" s="1"/>
      <c r="F68" s="4"/>
      <c r="G68" s="1"/>
      <c r="H68" s="1"/>
      <c r="I68" s="1"/>
      <c r="J68" s="1"/>
      <c r="K68" s="1"/>
      <c r="L68" s="1"/>
    </row>
    <row r="69" spans="2:12" x14ac:dyDescent="0.25">
      <c r="B69" s="2"/>
      <c r="C69" s="2"/>
      <c r="D69" s="86"/>
      <c r="E69" s="1"/>
      <c r="F69" s="4"/>
      <c r="G69" s="1"/>
      <c r="H69" s="1"/>
      <c r="I69" s="1"/>
      <c r="J69" s="1"/>
      <c r="K69" s="1"/>
      <c r="L69" s="1"/>
    </row>
    <row r="70" spans="2:12" x14ac:dyDescent="0.25">
      <c r="B70" s="2"/>
      <c r="C70" s="2"/>
      <c r="D70" s="86"/>
      <c r="E70" s="1"/>
      <c r="F70" s="4"/>
      <c r="G70" s="1"/>
      <c r="H70" s="1"/>
      <c r="I70" s="1"/>
      <c r="J70" s="1"/>
      <c r="K70" s="1"/>
      <c r="L70" s="1"/>
    </row>
    <row r="71" spans="2:12" x14ac:dyDescent="0.25">
      <c r="B71" s="2"/>
      <c r="C71" s="2"/>
      <c r="D71" s="86"/>
      <c r="E71" s="1"/>
      <c r="F71" s="4"/>
      <c r="G71" s="1"/>
      <c r="H71" s="1"/>
      <c r="I71" s="1"/>
      <c r="J71" s="1"/>
      <c r="K71" s="1"/>
      <c r="L71" s="1"/>
    </row>
    <row r="72" spans="2:12" x14ac:dyDescent="0.25">
      <c r="B72" s="2"/>
      <c r="C72" s="2"/>
      <c r="D72" s="86"/>
      <c r="E72" s="1"/>
      <c r="F72" s="4"/>
      <c r="G72" s="1"/>
      <c r="H72" s="1"/>
      <c r="I72" s="1"/>
      <c r="J72" s="1"/>
      <c r="K72" s="1"/>
      <c r="L72" s="1"/>
    </row>
    <row r="73" spans="2:12" x14ac:dyDescent="0.25">
      <c r="B73" s="2"/>
      <c r="C73" s="2"/>
      <c r="D73" s="86"/>
      <c r="E73" s="1"/>
      <c r="F73" s="1"/>
      <c r="G73" s="1"/>
      <c r="H73" s="1"/>
      <c r="I73" s="1"/>
      <c r="J73" s="1"/>
      <c r="K73" s="1"/>
      <c r="L73" s="1"/>
    </row>
    <row r="74" spans="2:12" x14ac:dyDescent="0.25">
      <c r="B74" s="2"/>
      <c r="C74" s="2"/>
      <c r="D74" s="86"/>
      <c r="E74" s="1"/>
      <c r="F74" s="1"/>
      <c r="G74" s="1"/>
      <c r="H74" s="1"/>
      <c r="I74" s="1"/>
      <c r="J74" s="1"/>
      <c r="K74" s="1"/>
      <c r="L74" s="1"/>
    </row>
    <row r="75" spans="2:12" x14ac:dyDescent="0.25">
      <c r="B75" s="2"/>
      <c r="C75" s="2"/>
      <c r="D75" s="86"/>
      <c r="E75" s="1"/>
      <c r="F75" s="1"/>
      <c r="G75" s="1"/>
      <c r="H75" s="1"/>
      <c r="I75" s="1"/>
      <c r="J75" s="1"/>
      <c r="K75" s="1"/>
      <c r="L75" s="1"/>
    </row>
    <row r="76" spans="2:12" x14ac:dyDescent="0.25">
      <c r="B76" s="2"/>
      <c r="C76" s="86"/>
      <c r="D76" s="1"/>
      <c r="E76" s="4"/>
      <c r="F76" s="1"/>
      <c r="G76" s="1"/>
      <c r="H76" s="1"/>
      <c r="I76" s="1"/>
      <c r="J76" s="1"/>
      <c r="K76" s="1"/>
      <c r="L76" s="1"/>
    </row>
    <row r="77" spans="2:12" x14ac:dyDescent="0.25">
      <c r="B77" s="2"/>
      <c r="C77" s="86"/>
      <c r="D77" s="1"/>
      <c r="E77" s="4"/>
      <c r="F77" s="1"/>
      <c r="G77" s="1"/>
      <c r="H77" s="1"/>
      <c r="I77" s="1"/>
      <c r="J77" s="1"/>
      <c r="K77" s="1"/>
      <c r="L77" s="1"/>
    </row>
    <row r="78" spans="2:12" x14ac:dyDescent="0.25">
      <c r="B78" s="2"/>
      <c r="C78" s="3"/>
      <c r="D78" s="1"/>
      <c r="E78" s="4"/>
      <c r="F78" s="1"/>
      <c r="G78" s="1"/>
      <c r="H78" s="1"/>
      <c r="I78" s="1"/>
      <c r="J78" s="1"/>
      <c r="K78" s="1"/>
      <c r="L78" s="1"/>
    </row>
    <row r="79" spans="2:12" x14ac:dyDescent="0.25">
      <c r="B79" s="2"/>
      <c r="C79" s="3"/>
      <c r="D79" s="1"/>
      <c r="E79" s="4"/>
      <c r="F79" s="1"/>
      <c r="G79" s="1"/>
      <c r="H79" s="1"/>
      <c r="I79" s="1"/>
      <c r="J79" s="1"/>
      <c r="K79" s="1"/>
      <c r="L79" s="1"/>
    </row>
    <row r="80" spans="2:12" x14ac:dyDescent="0.25">
      <c r="B80" s="2"/>
      <c r="C80" s="3"/>
      <c r="D80" s="1"/>
      <c r="E80" s="4"/>
      <c r="F80" s="1"/>
      <c r="G80" s="1"/>
      <c r="H80" s="1"/>
      <c r="I80" s="1"/>
      <c r="J80" s="1"/>
      <c r="K80" s="1"/>
      <c r="L80" s="1"/>
    </row>
    <row r="81" spans="2:12" x14ac:dyDescent="0.25">
      <c r="B81" s="2"/>
      <c r="C81" s="3"/>
      <c r="D81" s="1"/>
      <c r="E81" s="4"/>
      <c r="F81" s="1"/>
      <c r="G81" s="1"/>
      <c r="H81" s="1"/>
      <c r="I81" s="1"/>
      <c r="J81" s="1"/>
      <c r="K81" s="1"/>
      <c r="L81" s="1"/>
    </row>
    <row r="82" spans="2:12" x14ac:dyDescent="0.25">
      <c r="B82" s="2"/>
      <c r="C82" s="3"/>
      <c r="D82" s="1"/>
      <c r="E82" s="4"/>
      <c r="F82" s="1"/>
      <c r="G82" s="1"/>
      <c r="H82" s="1"/>
      <c r="I82" s="1"/>
      <c r="J82" s="1"/>
      <c r="K82" s="1"/>
      <c r="L82" s="1"/>
    </row>
    <row r="83" spans="2:12" x14ac:dyDescent="0.25">
      <c r="B83" s="2"/>
      <c r="C83" s="3"/>
      <c r="D83" s="1"/>
      <c r="E83" s="4"/>
      <c r="F83" s="1"/>
      <c r="G83" s="1"/>
      <c r="H83" s="1"/>
      <c r="I83" s="1"/>
      <c r="J83" s="1"/>
      <c r="K83" s="1"/>
      <c r="L83" s="1"/>
    </row>
    <row r="84" spans="2:12" x14ac:dyDescent="0.25">
      <c r="B84" s="2"/>
      <c r="C84" s="3"/>
      <c r="D84" s="1"/>
      <c r="E84" s="4"/>
      <c r="F84" s="1"/>
      <c r="G84" s="1"/>
      <c r="H84" s="1"/>
      <c r="I84" s="1"/>
      <c r="J84" s="1"/>
      <c r="K84" s="1"/>
      <c r="L84" s="1"/>
    </row>
    <row r="85" spans="2:12" x14ac:dyDescent="0.25">
      <c r="B85" s="2"/>
      <c r="C85" s="3"/>
      <c r="D85" s="1"/>
      <c r="E85" s="4"/>
      <c r="F85" s="1"/>
      <c r="G85" s="1"/>
      <c r="H85" s="1"/>
      <c r="I85" s="1"/>
      <c r="J85" s="1"/>
      <c r="K85" s="1"/>
      <c r="L85" s="1"/>
    </row>
    <row r="86" spans="2:12" x14ac:dyDescent="0.25">
      <c r="B86" s="2"/>
      <c r="C86" s="3"/>
      <c r="D86" s="1"/>
      <c r="E86" s="4"/>
      <c r="F86" s="1"/>
      <c r="G86" s="1"/>
      <c r="H86" s="1"/>
      <c r="I86" s="1"/>
      <c r="J86" s="1"/>
      <c r="K86" s="1"/>
      <c r="L86" s="1"/>
    </row>
    <row r="87" spans="2:12" x14ac:dyDescent="0.25">
      <c r="B87" s="2"/>
      <c r="C87" s="3"/>
      <c r="D87" s="1"/>
      <c r="E87" s="4"/>
      <c r="F87" s="1"/>
      <c r="G87" s="1"/>
      <c r="H87" s="1"/>
      <c r="I87" s="1"/>
      <c r="J87" s="1"/>
      <c r="K87" s="1"/>
      <c r="L87" s="1"/>
    </row>
    <row r="88" spans="2:12" x14ac:dyDescent="0.25">
      <c r="B88" s="2"/>
      <c r="C88" s="3"/>
      <c r="D88" s="1"/>
      <c r="E88" s="4"/>
      <c r="F88" s="1"/>
      <c r="G88" s="1"/>
      <c r="H88" s="1"/>
      <c r="I88" s="1"/>
      <c r="J88" s="1"/>
      <c r="K88" s="1"/>
      <c r="L88" s="1"/>
    </row>
    <row r="89" spans="2:12" x14ac:dyDescent="0.25">
      <c r="B89" s="2"/>
      <c r="C89" s="3"/>
      <c r="D89" s="1"/>
      <c r="E89" s="4"/>
      <c r="F89" s="1"/>
      <c r="G89" s="1"/>
      <c r="H89" s="1"/>
      <c r="I89" s="1"/>
      <c r="J89" s="1"/>
      <c r="K89" s="1"/>
      <c r="L89" s="1"/>
    </row>
    <row r="90" spans="2:12" x14ac:dyDescent="0.25">
      <c r="B90" s="2"/>
      <c r="C90" s="3"/>
      <c r="D90" s="1"/>
      <c r="E90" s="4"/>
      <c r="F90" s="1"/>
      <c r="G90" s="1"/>
      <c r="H90" s="1"/>
      <c r="I90" s="1"/>
      <c r="J90" s="1"/>
      <c r="K90" s="1"/>
      <c r="L90" s="1"/>
    </row>
    <row r="91" spans="2:12" x14ac:dyDescent="0.25">
      <c r="B91" s="2"/>
      <c r="C91" s="3"/>
      <c r="D91" s="1"/>
      <c r="E91" s="4"/>
      <c r="F91" s="1"/>
      <c r="G91" s="1"/>
      <c r="H91" s="1"/>
      <c r="I91" s="1"/>
      <c r="J91" s="1"/>
      <c r="K91" s="1"/>
      <c r="L91" s="1"/>
    </row>
    <row r="92" spans="2:12" x14ac:dyDescent="0.25">
      <c r="B92" s="2"/>
      <c r="C92" s="3"/>
      <c r="D92" s="1"/>
      <c r="E92" s="4"/>
      <c r="F92" s="1"/>
      <c r="G92" s="1"/>
      <c r="H92" s="1"/>
      <c r="I92" s="1"/>
      <c r="J92" s="1"/>
      <c r="K92" s="1"/>
      <c r="L92" s="1"/>
    </row>
    <row r="93" spans="2:12" x14ac:dyDescent="0.25">
      <c r="B93" s="2"/>
      <c r="C93" s="3"/>
      <c r="D93" s="1"/>
      <c r="E93" s="4"/>
      <c r="F93" s="1"/>
      <c r="G93" s="1"/>
      <c r="H93" s="1"/>
      <c r="I93" s="1"/>
      <c r="J93" s="1"/>
      <c r="K93" s="1"/>
      <c r="L93" s="1"/>
    </row>
    <row r="94" spans="2:12" x14ac:dyDescent="0.25">
      <c r="B94" s="2"/>
      <c r="C94" s="3"/>
      <c r="D94" s="1"/>
      <c r="E94" s="4"/>
      <c r="F94" s="1"/>
      <c r="G94" s="1"/>
      <c r="H94" s="1"/>
      <c r="I94" s="1"/>
      <c r="J94" s="1"/>
      <c r="K94" s="1"/>
      <c r="L94" s="1"/>
    </row>
    <row r="95" spans="2:12" x14ac:dyDescent="0.25">
      <c r="B95" s="2"/>
      <c r="C95" s="3"/>
      <c r="D95" s="1"/>
      <c r="E95" s="4"/>
      <c r="F95" s="1"/>
      <c r="G95" s="1"/>
      <c r="H95" s="1"/>
      <c r="I95" s="1"/>
      <c r="J95" s="1"/>
      <c r="K95" s="1"/>
      <c r="L95" s="1"/>
    </row>
    <row r="96" spans="2:12" x14ac:dyDescent="0.25">
      <c r="B96" s="2"/>
      <c r="C96" s="3"/>
      <c r="D96" s="1"/>
      <c r="E96" s="4"/>
      <c r="F96" s="1"/>
      <c r="G96" s="1"/>
      <c r="H96" s="1"/>
      <c r="I96" s="1"/>
      <c r="J96" s="1"/>
      <c r="K96" s="1"/>
      <c r="L96" s="1"/>
    </row>
    <row r="97" spans="2:12" x14ac:dyDescent="0.25">
      <c r="B97" s="2"/>
      <c r="C97" s="3"/>
      <c r="D97" s="1"/>
      <c r="E97" s="4"/>
      <c r="F97" s="1"/>
      <c r="G97" s="1"/>
      <c r="H97" s="1"/>
      <c r="I97" s="1"/>
      <c r="J97" s="1"/>
      <c r="K97" s="1"/>
      <c r="L97" s="1"/>
    </row>
    <row r="98" spans="2:12" x14ac:dyDescent="0.25">
      <c r="B98" s="2"/>
      <c r="C98" s="3"/>
      <c r="D98" s="1"/>
      <c r="E98" s="4"/>
      <c r="F98" s="1"/>
      <c r="G98" s="1"/>
      <c r="H98" s="1"/>
      <c r="I98" s="1"/>
      <c r="J98" s="1"/>
      <c r="K98" s="1"/>
      <c r="L98" s="1"/>
    </row>
    <row r="99" spans="2:12" x14ac:dyDescent="0.25">
      <c r="B99" s="2"/>
      <c r="C99" s="3"/>
      <c r="D99" s="1"/>
      <c r="E99" s="4"/>
      <c r="F99" s="1"/>
      <c r="G99" s="1"/>
      <c r="H99" s="1"/>
      <c r="I99" s="1"/>
      <c r="J99" s="1"/>
      <c r="K99" s="1"/>
      <c r="L99" s="1"/>
    </row>
    <row r="100" spans="2:12" x14ac:dyDescent="0.25">
      <c r="B100" s="2"/>
      <c r="C100" s="3"/>
      <c r="D100" s="1"/>
      <c r="E100" s="4"/>
      <c r="F100" s="1"/>
      <c r="G100" s="1"/>
      <c r="H100" s="1"/>
      <c r="I100" s="1"/>
      <c r="J100" s="1"/>
      <c r="K100" s="1"/>
      <c r="L100" s="1"/>
    </row>
    <row r="101" spans="2:12" x14ac:dyDescent="0.25">
      <c r="B101" s="2"/>
      <c r="C101" s="3"/>
      <c r="D101" s="1"/>
      <c r="E101" s="4"/>
      <c r="F101" s="1"/>
      <c r="G101" s="1"/>
      <c r="H101" s="1"/>
      <c r="I101" s="1"/>
      <c r="J101" s="1"/>
      <c r="K101" s="1"/>
      <c r="L101" s="1"/>
    </row>
    <row r="102" spans="2:12" x14ac:dyDescent="0.25">
      <c r="B102" s="2"/>
      <c r="C102" s="3"/>
      <c r="D102" s="1"/>
      <c r="E102" s="4"/>
      <c r="F102" s="1"/>
      <c r="G102" s="1"/>
      <c r="H102" s="1"/>
      <c r="I102" s="1"/>
      <c r="J102" s="1"/>
      <c r="K102" s="1"/>
      <c r="L102" s="1"/>
    </row>
    <row r="103" spans="2:12" x14ac:dyDescent="0.25">
      <c r="B103" s="2"/>
      <c r="C103" s="3"/>
      <c r="D103" s="1"/>
      <c r="E103" s="4"/>
      <c r="F103" s="1"/>
      <c r="G103" s="1"/>
      <c r="H103" s="1"/>
      <c r="I103" s="1"/>
      <c r="J103" s="1"/>
      <c r="K103" s="1"/>
      <c r="L103" s="1"/>
    </row>
    <row r="104" spans="2:12" x14ac:dyDescent="0.25">
      <c r="B104" s="2"/>
      <c r="C104" s="3"/>
      <c r="D104" s="1"/>
      <c r="E104" s="4"/>
      <c r="F104" s="1"/>
      <c r="G104" s="1"/>
      <c r="H104" s="1"/>
      <c r="I104" s="1"/>
      <c r="J104" s="1"/>
      <c r="K104" s="1"/>
      <c r="L104" s="1"/>
    </row>
    <row r="105" spans="2:12" x14ac:dyDescent="0.25">
      <c r="B105" s="2"/>
      <c r="C105" s="3"/>
      <c r="D105" s="1"/>
      <c r="E105" s="4"/>
      <c r="F105" s="1"/>
      <c r="G105" s="1"/>
      <c r="H105" s="1"/>
      <c r="I105" s="1"/>
      <c r="J105" s="1"/>
      <c r="K105" s="1"/>
      <c r="L105" s="1"/>
    </row>
    <row r="106" spans="2:12" x14ac:dyDescent="0.25">
      <c r="B106" s="2"/>
      <c r="C106" s="3"/>
      <c r="D106" s="1"/>
      <c r="E106" s="4"/>
      <c r="F106" s="1"/>
      <c r="G106" s="1"/>
      <c r="H106" s="1"/>
      <c r="I106" s="1"/>
      <c r="J106" s="1"/>
      <c r="K106" s="1"/>
      <c r="L106" s="1"/>
    </row>
    <row r="107" spans="2:12" x14ac:dyDescent="0.25">
      <c r="B107" s="2"/>
      <c r="C107" s="3"/>
      <c r="D107" s="1"/>
      <c r="E107" s="4"/>
      <c r="F107" s="1"/>
      <c r="G107" s="1"/>
      <c r="H107" s="1"/>
      <c r="I107" s="1"/>
      <c r="J107" s="1"/>
      <c r="K107" s="1"/>
      <c r="L107" s="1"/>
    </row>
    <row r="108" spans="2:12" x14ac:dyDescent="0.25">
      <c r="B108" s="2"/>
      <c r="C108" s="3"/>
      <c r="D108" s="1"/>
      <c r="E108" s="4"/>
      <c r="F108" s="1"/>
      <c r="G108" s="1"/>
      <c r="H108" s="1"/>
      <c r="I108" s="1"/>
      <c r="J108" s="1"/>
      <c r="K108" s="1"/>
      <c r="L108" s="1"/>
    </row>
    <row r="109" spans="2:12" x14ac:dyDescent="0.25">
      <c r="B109" s="2"/>
      <c r="C109" s="3"/>
      <c r="D109" s="1"/>
      <c r="E109" s="4"/>
      <c r="F109" s="1"/>
      <c r="G109" s="1"/>
      <c r="H109" s="1"/>
      <c r="I109" s="1"/>
      <c r="J109" s="1"/>
      <c r="K109" s="1"/>
      <c r="L109" s="1"/>
    </row>
    <row r="110" spans="2:12" x14ac:dyDescent="0.25">
      <c r="B110" s="2"/>
      <c r="C110" s="3"/>
      <c r="D110" s="1"/>
      <c r="E110" s="4"/>
      <c r="F110" s="1"/>
      <c r="G110" s="1"/>
      <c r="H110" s="1"/>
      <c r="I110" s="1"/>
      <c r="J110" s="1"/>
      <c r="K110" s="1"/>
      <c r="L110" s="1"/>
    </row>
    <row r="111" spans="2:12" x14ac:dyDescent="0.25">
      <c r="B111" s="2"/>
      <c r="C111" s="3"/>
      <c r="D111" s="1"/>
      <c r="E111" s="4"/>
      <c r="F111" s="1"/>
      <c r="G111" s="1"/>
      <c r="H111" s="1"/>
      <c r="I111" s="1"/>
      <c r="J111" s="1"/>
      <c r="K111" s="1"/>
      <c r="L111" s="1"/>
    </row>
    <row r="112" spans="2:12" x14ac:dyDescent="0.25">
      <c r="B112" s="2"/>
      <c r="C112" s="3"/>
      <c r="D112" s="1"/>
      <c r="E112" s="4"/>
      <c r="F112" s="1"/>
      <c r="G112" s="1"/>
      <c r="H112" s="1"/>
      <c r="I112" s="1"/>
      <c r="J112" s="1"/>
      <c r="K112" s="1"/>
      <c r="L112" s="1"/>
    </row>
    <row r="113" spans="2:12" x14ac:dyDescent="0.25">
      <c r="B113" s="2"/>
      <c r="C113" s="3"/>
      <c r="D113" s="1"/>
      <c r="E113" s="4"/>
      <c r="F113" s="1"/>
      <c r="G113" s="1"/>
      <c r="H113" s="1"/>
      <c r="I113" s="1"/>
      <c r="J113" s="1"/>
      <c r="K113" s="1"/>
      <c r="L113" s="1"/>
    </row>
    <row r="114" spans="2:12" x14ac:dyDescent="0.25">
      <c r="B114" s="2"/>
      <c r="C114" s="3"/>
      <c r="D114" s="1"/>
      <c r="E114" s="4"/>
      <c r="F114" s="1"/>
      <c r="G114" s="1"/>
      <c r="H114" s="1"/>
      <c r="I114" s="1"/>
      <c r="J114" s="1"/>
      <c r="K114" s="1"/>
      <c r="L114" s="1"/>
    </row>
    <row r="115" spans="2:12" x14ac:dyDescent="0.25">
      <c r="B115" s="2"/>
      <c r="C115" s="3"/>
      <c r="D115" s="1"/>
      <c r="E115" s="4"/>
      <c r="F115" s="1"/>
      <c r="G115" s="1"/>
      <c r="H115" s="1"/>
      <c r="I115" s="1"/>
      <c r="J115" s="1"/>
      <c r="K115" s="1"/>
      <c r="L115" s="1"/>
    </row>
    <row r="116" spans="2:12" x14ac:dyDescent="0.25">
      <c r="B116" s="2"/>
      <c r="C116" s="3"/>
      <c r="D116" s="1"/>
      <c r="E116" s="4"/>
      <c r="F116" s="1"/>
      <c r="G116" s="1"/>
      <c r="H116" s="1"/>
      <c r="I116" s="1"/>
      <c r="J116" s="1"/>
      <c r="K116" s="1"/>
      <c r="L116" s="1"/>
    </row>
    <row r="117" spans="2:12" x14ac:dyDescent="0.25">
      <c r="B117" s="2"/>
      <c r="C117" s="3"/>
      <c r="D117" s="1"/>
      <c r="E117" s="4"/>
      <c r="F117" s="1"/>
      <c r="G117" s="1"/>
      <c r="H117" s="1"/>
      <c r="I117" s="1"/>
      <c r="J117" s="1"/>
      <c r="K117" s="1"/>
      <c r="L117" s="1"/>
    </row>
    <row r="118" spans="2:12" x14ac:dyDescent="0.25">
      <c r="B118" s="2"/>
      <c r="C118" s="3"/>
      <c r="D118" s="1"/>
      <c r="E118" s="4"/>
      <c r="F118" s="1"/>
      <c r="G118" s="1"/>
      <c r="H118" s="1"/>
      <c r="I118" s="1"/>
      <c r="J118" s="1"/>
      <c r="K118" s="1"/>
      <c r="L118" s="1"/>
    </row>
    <row r="119" spans="2:12" x14ac:dyDescent="0.25">
      <c r="B119" s="2"/>
      <c r="C119" s="3"/>
      <c r="D119" s="1"/>
      <c r="E119" s="4"/>
      <c r="F119" s="1"/>
      <c r="G119" s="1"/>
      <c r="H119" s="1"/>
      <c r="I119" s="1"/>
      <c r="J119" s="1"/>
      <c r="K119" s="1"/>
      <c r="L119" s="1"/>
    </row>
    <row r="120" spans="2:12" x14ac:dyDescent="0.25">
      <c r="B120" s="2"/>
      <c r="C120" s="3"/>
      <c r="D120" s="1"/>
      <c r="E120" s="4"/>
      <c r="F120" s="1"/>
      <c r="G120" s="1"/>
      <c r="H120" s="1"/>
      <c r="I120" s="1"/>
      <c r="J120" s="1"/>
      <c r="K120" s="1"/>
      <c r="L120" s="1"/>
    </row>
    <row r="121" spans="2:12" x14ac:dyDescent="0.25">
      <c r="B121" s="2"/>
      <c r="C121" s="3"/>
      <c r="D121" s="1"/>
      <c r="E121" s="4"/>
      <c r="F121" s="1"/>
      <c r="G121" s="1"/>
      <c r="H121" s="1"/>
      <c r="I121" s="1"/>
      <c r="J121" s="1"/>
      <c r="K121" s="1"/>
      <c r="L121" s="1"/>
    </row>
    <row r="122" spans="2:12" x14ac:dyDescent="0.25">
      <c r="B122" s="2"/>
      <c r="C122" s="3"/>
      <c r="D122" s="1"/>
      <c r="E122" s="4"/>
      <c r="F122" s="1"/>
      <c r="G122" s="1"/>
      <c r="H122" s="1"/>
      <c r="I122" s="1"/>
      <c r="J122" s="1"/>
      <c r="K122" s="1"/>
      <c r="L122" s="1"/>
    </row>
    <row r="123" spans="2:12" x14ac:dyDescent="0.25">
      <c r="B123" s="2"/>
      <c r="C123" s="3"/>
      <c r="D123" s="1"/>
      <c r="E123" s="4"/>
      <c r="F123" s="1"/>
      <c r="G123" s="1"/>
      <c r="H123" s="1"/>
      <c r="I123" s="1"/>
      <c r="J123" s="1"/>
      <c r="K123" s="1"/>
      <c r="L123" s="1"/>
    </row>
    <row r="124" spans="2:12" x14ac:dyDescent="0.25">
      <c r="B124" s="2"/>
      <c r="C124" s="3"/>
      <c r="D124" s="1"/>
      <c r="E124" s="4"/>
      <c r="F124" s="1"/>
      <c r="G124" s="1"/>
      <c r="H124" s="1"/>
      <c r="I124" s="1"/>
      <c r="J124" s="1"/>
      <c r="K124" s="1"/>
      <c r="L124" s="1"/>
    </row>
    <row r="125" spans="2:12" x14ac:dyDescent="0.25">
      <c r="B125" s="2"/>
      <c r="C125" s="3"/>
      <c r="D125" s="1"/>
      <c r="E125" s="4"/>
      <c r="F125" s="1"/>
      <c r="G125" s="1"/>
      <c r="H125" s="1"/>
      <c r="I125" s="1"/>
      <c r="J125" s="1"/>
      <c r="K125" s="1"/>
      <c r="L125" s="1"/>
    </row>
    <row r="126" spans="2:12" x14ac:dyDescent="0.25">
      <c r="B126" s="2"/>
      <c r="C126" s="3"/>
      <c r="D126" s="1"/>
      <c r="E126" s="4"/>
      <c r="F126" s="1"/>
      <c r="G126" s="1"/>
      <c r="H126" s="1"/>
      <c r="I126" s="1"/>
      <c r="J126" s="1"/>
      <c r="K126" s="1"/>
      <c r="L126" s="1"/>
    </row>
    <row r="127" spans="2:12" x14ac:dyDescent="0.25">
      <c r="B127" s="2"/>
      <c r="C127" s="3"/>
      <c r="D127" s="1"/>
      <c r="E127" s="4"/>
      <c r="F127" s="1"/>
      <c r="G127" s="1"/>
      <c r="H127" s="1"/>
      <c r="I127" s="1"/>
      <c r="J127" s="1"/>
      <c r="K127" s="1"/>
      <c r="L127" s="1"/>
    </row>
    <row r="128" spans="2:12" x14ac:dyDescent="0.25">
      <c r="B128" s="2"/>
      <c r="C128" s="3"/>
      <c r="D128" s="1"/>
      <c r="E128" s="4"/>
      <c r="F128" s="1"/>
      <c r="G128" s="1"/>
      <c r="H128" s="1"/>
      <c r="I128" s="1"/>
      <c r="J128" s="1"/>
      <c r="K128" s="1"/>
      <c r="L128" s="1"/>
    </row>
    <row r="129" spans="2:12" x14ac:dyDescent="0.25">
      <c r="B129" s="2"/>
      <c r="C129" s="3"/>
      <c r="D129" s="1"/>
      <c r="E129" s="4"/>
      <c r="F129" s="1"/>
      <c r="G129" s="1"/>
      <c r="H129" s="1"/>
      <c r="I129" s="1"/>
      <c r="J129" s="1"/>
      <c r="K129" s="1"/>
      <c r="L129" s="1"/>
    </row>
    <row r="130" spans="2:12" x14ac:dyDescent="0.25">
      <c r="B130" s="2"/>
      <c r="C130" s="3"/>
      <c r="D130" s="1"/>
      <c r="E130" s="4"/>
      <c r="F130" s="1"/>
      <c r="G130" s="1"/>
      <c r="H130" s="1"/>
      <c r="I130" s="1"/>
      <c r="J130" s="1"/>
      <c r="K130" s="1"/>
      <c r="L130" s="1"/>
    </row>
    <row r="131" spans="2:12" x14ac:dyDescent="0.25">
      <c r="B131" s="2"/>
      <c r="C131" s="3"/>
      <c r="D131" s="1"/>
      <c r="E131" s="4"/>
      <c r="F131" s="1"/>
      <c r="G131" s="1"/>
      <c r="H131" s="1"/>
      <c r="I131" s="1"/>
      <c r="J131" s="1"/>
      <c r="K131" s="1"/>
      <c r="L131" s="1"/>
    </row>
    <row r="132" spans="2:12" x14ac:dyDescent="0.25">
      <c r="B132" s="2"/>
      <c r="C132" s="3"/>
      <c r="D132" s="1"/>
      <c r="E132" s="4"/>
      <c r="F132" s="1"/>
      <c r="G132" s="1"/>
      <c r="H132" s="1"/>
      <c r="I132" s="1"/>
      <c r="J132" s="1"/>
      <c r="K132" s="1"/>
      <c r="L132" s="1"/>
    </row>
    <row r="133" spans="2:12" x14ac:dyDescent="0.25">
      <c r="B133" s="2"/>
      <c r="C133" s="3"/>
      <c r="D133" s="1"/>
      <c r="E133" s="4"/>
      <c r="F133" s="1"/>
      <c r="G133" s="1"/>
      <c r="H133" s="1"/>
      <c r="I133" s="1"/>
      <c r="J133" s="1"/>
      <c r="K133" s="1"/>
      <c r="L133" s="1"/>
    </row>
    <row r="134" spans="2:12" x14ac:dyDescent="0.25">
      <c r="B134" s="2"/>
      <c r="C134" s="3"/>
      <c r="D134" s="1"/>
      <c r="E134" s="4"/>
      <c r="F134" s="1"/>
      <c r="G134" s="1"/>
      <c r="H134" s="1"/>
      <c r="I134" s="1"/>
      <c r="J134" s="1"/>
      <c r="K134" s="1"/>
      <c r="L134" s="1"/>
    </row>
    <row r="135" spans="2:12" x14ac:dyDescent="0.25">
      <c r="B135" s="2"/>
      <c r="C135" s="3"/>
      <c r="D135" s="1"/>
      <c r="E135" s="4"/>
      <c r="F135" s="1"/>
      <c r="G135" s="1"/>
      <c r="H135" s="1"/>
      <c r="I135" s="1"/>
      <c r="J135" s="1"/>
      <c r="K135" s="1"/>
      <c r="L135" s="1"/>
    </row>
    <row r="136" spans="2:12" x14ac:dyDescent="0.25">
      <c r="B136" s="2"/>
      <c r="C136" s="3"/>
      <c r="D136" s="1"/>
      <c r="E136" s="4"/>
      <c r="F136" s="1"/>
      <c r="G136" s="1"/>
      <c r="H136" s="1"/>
      <c r="I136" s="1"/>
      <c r="J136" s="1"/>
      <c r="K136" s="1"/>
      <c r="L136" s="1"/>
    </row>
    <row r="137" spans="2:12" x14ac:dyDescent="0.25">
      <c r="B137" s="2"/>
      <c r="C137" s="3"/>
      <c r="D137" s="1"/>
      <c r="E137" s="4"/>
      <c r="F137" s="1"/>
      <c r="G137" s="1"/>
      <c r="H137" s="1"/>
      <c r="I137" s="1"/>
      <c r="J137" s="1"/>
      <c r="K137" s="1"/>
      <c r="L137" s="1"/>
    </row>
    <row r="138" spans="2:12" x14ac:dyDescent="0.25">
      <c r="B138" s="2"/>
      <c r="C138" s="3"/>
      <c r="D138" s="1"/>
      <c r="E138" s="4"/>
      <c r="F138" s="1"/>
      <c r="G138" s="1"/>
      <c r="H138" s="1"/>
      <c r="I138" s="1"/>
      <c r="J138" s="1"/>
      <c r="K138" s="1"/>
      <c r="L138" s="1"/>
    </row>
    <row r="139" spans="2:12" x14ac:dyDescent="0.25">
      <c r="B139" s="2"/>
      <c r="C139" s="3"/>
      <c r="D139" s="1"/>
      <c r="E139" s="4"/>
      <c r="F139" s="1"/>
      <c r="G139" s="1"/>
      <c r="H139" s="1"/>
      <c r="I139" s="1"/>
      <c r="J139" s="1"/>
      <c r="K139" s="1"/>
      <c r="L139" s="1"/>
    </row>
    <row r="140" spans="2:12" x14ac:dyDescent="0.25">
      <c r="B140" s="2"/>
      <c r="C140" s="3"/>
      <c r="D140" s="1"/>
      <c r="E140" s="4"/>
      <c r="F140" s="1"/>
      <c r="G140" s="1"/>
      <c r="H140" s="1"/>
      <c r="I140" s="1"/>
      <c r="J140" s="1"/>
      <c r="K140" s="1"/>
      <c r="L140" s="1"/>
    </row>
    <row r="141" spans="2:12" x14ac:dyDescent="0.25">
      <c r="B141" s="2"/>
      <c r="C141" s="3"/>
      <c r="D141" s="1"/>
      <c r="E141" s="4"/>
      <c r="F141" s="1"/>
      <c r="G141" s="1"/>
      <c r="H141" s="1"/>
      <c r="I141" s="1"/>
      <c r="J141" s="1"/>
      <c r="K141" s="1"/>
      <c r="L141" s="1"/>
    </row>
    <row r="142" spans="2:12" x14ac:dyDescent="0.25">
      <c r="B142" s="2"/>
      <c r="C142" s="3"/>
      <c r="D142" s="1"/>
      <c r="E142" s="4"/>
      <c r="F142" s="1"/>
      <c r="G142" s="1"/>
      <c r="H142" s="1"/>
      <c r="I142" s="1"/>
      <c r="J142" s="1"/>
      <c r="K142" s="1"/>
      <c r="L142" s="1"/>
    </row>
    <row r="143" spans="2:12" x14ac:dyDescent="0.25">
      <c r="B143" s="2"/>
      <c r="C143" s="3"/>
      <c r="D143" s="1"/>
      <c r="E143" s="4"/>
      <c r="F143" s="1"/>
      <c r="G143" s="1"/>
      <c r="H143" s="1"/>
      <c r="I143" s="1"/>
      <c r="J143" s="1"/>
      <c r="K143" s="1"/>
      <c r="L143" s="1"/>
    </row>
    <row r="144" spans="2:12" x14ac:dyDescent="0.25">
      <c r="B144" s="2"/>
      <c r="C144" s="3"/>
      <c r="D144" s="1"/>
      <c r="E144" s="4"/>
      <c r="F144" s="1"/>
      <c r="G144" s="1"/>
      <c r="H144" s="1"/>
      <c r="I144" s="1"/>
      <c r="J144" s="1"/>
      <c r="K144" s="1"/>
      <c r="L144" s="1"/>
    </row>
    <row r="145" spans="2:12" x14ac:dyDescent="0.25">
      <c r="B145" s="2"/>
      <c r="C145" s="3"/>
      <c r="D145" s="1"/>
      <c r="E145" s="4"/>
      <c r="F145" s="1"/>
      <c r="G145" s="1"/>
      <c r="H145" s="1"/>
      <c r="I145" s="1"/>
      <c r="J145" s="1"/>
      <c r="K145" s="1"/>
      <c r="L145" s="1"/>
    </row>
    <row r="146" spans="2:12" x14ac:dyDescent="0.25">
      <c r="B146" s="2"/>
      <c r="C146" s="3"/>
      <c r="D146" s="1"/>
      <c r="E146" s="4"/>
      <c r="F146" s="1"/>
      <c r="G146" s="1"/>
      <c r="H146" s="1"/>
      <c r="I146" s="1"/>
      <c r="J146" s="1"/>
      <c r="K146" s="1"/>
      <c r="L146" s="1"/>
    </row>
    <row r="147" spans="2:12" x14ac:dyDescent="0.25">
      <c r="B147" s="2"/>
      <c r="C147" s="3"/>
      <c r="D147" s="1"/>
      <c r="E147" s="4"/>
      <c r="F147" s="1"/>
      <c r="G147" s="1"/>
      <c r="H147" s="1"/>
      <c r="I147" s="1"/>
      <c r="J147" s="1"/>
      <c r="K147" s="1"/>
      <c r="L147" s="1"/>
    </row>
    <row r="148" spans="2:12" x14ac:dyDescent="0.25">
      <c r="B148" s="2"/>
      <c r="C148" s="3"/>
      <c r="D148" s="1"/>
      <c r="E148" s="4"/>
      <c r="F148" s="1"/>
      <c r="G148" s="1"/>
      <c r="H148" s="1"/>
      <c r="I148" s="1"/>
      <c r="J148" s="1"/>
      <c r="K148" s="1"/>
      <c r="L148" s="1"/>
    </row>
    <row r="149" spans="2:12" x14ac:dyDescent="0.25">
      <c r="B149" s="2"/>
      <c r="C149" s="3"/>
      <c r="D149" s="1"/>
      <c r="E149" s="4"/>
      <c r="F149" s="1"/>
      <c r="G149" s="1"/>
      <c r="H149" s="1"/>
      <c r="I149" s="1"/>
      <c r="J149" s="1"/>
      <c r="K149" s="1"/>
      <c r="L149" s="1"/>
    </row>
    <row r="150" spans="2:12" x14ac:dyDescent="0.25">
      <c r="B150" s="2"/>
      <c r="C150" s="3"/>
      <c r="D150" s="1"/>
      <c r="E150" s="4"/>
      <c r="F150" s="1"/>
      <c r="G150" s="1"/>
      <c r="H150" s="1"/>
      <c r="I150" s="1"/>
      <c r="J150" s="1"/>
      <c r="K150" s="1"/>
      <c r="L150" s="1"/>
    </row>
    <row r="151" spans="2:12" x14ac:dyDescent="0.25">
      <c r="B151" s="2"/>
      <c r="C151" s="3"/>
      <c r="D151" s="1"/>
      <c r="E151" s="4"/>
      <c r="F151" s="1"/>
      <c r="G151" s="1"/>
      <c r="H151" s="1"/>
      <c r="I151" s="1"/>
      <c r="J151" s="1"/>
      <c r="K151" s="1"/>
      <c r="L151" s="1"/>
    </row>
    <row r="152" spans="2:12" x14ac:dyDescent="0.25">
      <c r="B152" s="2"/>
      <c r="C152" s="3"/>
      <c r="D152" s="1"/>
      <c r="E152" s="4"/>
      <c r="F152" s="1"/>
      <c r="G152" s="1"/>
      <c r="H152" s="1"/>
      <c r="I152" s="1"/>
      <c r="J152" s="1"/>
      <c r="K152" s="1"/>
      <c r="L152" s="1"/>
    </row>
    <row r="153" spans="2:12" x14ac:dyDescent="0.25">
      <c r="B153" s="2"/>
      <c r="C153" s="3"/>
      <c r="D153" s="1"/>
      <c r="E153" s="4"/>
      <c r="F153" s="1"/>
      <c r="G153" s="1"/>
      <c r="H153" s="1"/>
      <c r="I153" s="1"/>
      <c r="J153" s="1"/>
      <c r="K153" s="1"/>
      <c r="L153" s="1"/>
    </row>
    <row r="154" spans="2:12" x14ac:dyDescent="0.25">
      <c r="B154" s="2"/>
      <c r="C154" s="3"/>
      <c r="D154" s="1"/>
      <c r="E154" s="4"/>
      <c r="F154" s="1"/>
      <c r="G154" s="1"/>
      <c r="H154" s="1"/>
      <c r="I154" s="1"/>
      <c r="J154" s="1"/>
      <c r="K154" s="1"/>
      <c r="L154" s="1"/>
    </row>
    <row r="155" spans="2:12" x14ac:dyDescent="0.25">
      <c r="B155" s="2"/>
      <c r="C155" s="3"/>
      <c r="D155" s="1"/>
      <c r="E155" s="4"/>
      <c r="F155" s="1"/>
      <c r="G155" s="1"/>
      <c r="H155" s="1"/>
      <c r="I155" s="1"/>
      <c r="J155" s="1"/>
      <c r="K155" s="1"/>
      <c r="L155" s="1"/>
    </row>
    <row r="156" spans="2:12" x14ac:dyDescent="0.25">
      <c r="B156" s="2"/>
      <c r="C156" s="3"/>
      <c r="D156" s="1"/>
      <c r="E156" s="4"/>
      <c r="F156" s="1"/>
      <c r="G156" s="1"/>
      <c r="H156" s="1"/>
      <c r="I156" s="1"/>
      <c r="J156" s="1"/>
      <c r="K156" s="1"/>
      <c r="L156" s="1"/>
    </row>
    <row r="157" spans="2:12" x14ac:dyDescent="0.25">
      <c r="B157" s="2"/>
      <c r="C157" s="3"/>
      <c r="D157" s="1"/>
      <c r="E157" s="4"/>
      <c r="F157" s="1"/>
      <c r="G157" s="1"/>
      <c r="H157" s="1"/>
      <c r="I157" s="1"/>
      <c r="J157" s="1"/>
      <c r="K157" s="1"/>
      <c r="L157" s="1"/>
    </row>
    <row r="158" spans="2:12" x14ac:dyDescent="0.25">
      <c r="B158" s="2"/>
      <c r="C158" s="3"/>
      <c r="D158" s="1"/>
      <c r="E158" s="4"/>
      <c r="F158" s="1"/>
      <c r="G158" s="1"/>
      <c r="H158" s="1"/>
      <c r="I158" s="1"/>
      <c r="J158" s="1"/>
      <c r="K158" s="1"/>
      <c r="L158" s="1"/>
    </row>
    <row r="159" spans="2:12" x14ac:dyDescent="0.25">
      <c r="B159" s="2"/>
      <c r="C159" s="3"/>
      <c r="D159" s="1"/>
      <c r="E159" s="4"/>
      <c r="F159" s="1"/>
      <c r="G159" s="1"/>
      <c r="H159" s="1"/>
      <c r="I159" s="1"/>
      <c r="J159" s="1"/>
      <c r="K159" s="1"/>
      <c r="L159" s="1"/>
    </row>
    <row r="160" spans="2:12" x14ac:dyDescent="0.25">
      <c r="B160" s="2"/>
      <c r="C160" s="3"/>
      <c r="D160" s="1"/>
      <c r="E160" s="4"/>
      <c r="F160" s="1"/>
      <c r="G160" s="1"/>
      <c r="H160" s="1"/>
      <c r="I160" s="1"/>
      <c r="J160" s="1"/>
      <c r="K160" s="1"/>
      <c r="L160" s="1"/>
    </row>
    <row r="161" spans="2:12" x14ac:dyDescent="0.25">
      <c r="B161" s="2"/>
      <c r="C161" s="3"/>
      <c r="D161" s="1"/>
      <c r="E161" s="4"/>
      <c r="F161" s="1"/>
      <c r="G161" s="1"/>
      <c r="H161" s="1"/>
      <c r="I161" s="1"/>
      <c r="J161" s="1"/>
      <c r="K161" s="1"/>
      <c r="L161" s="1"/>
    </row>
    <row r="162" spans="2:12" x14ac:dyDescent="0.25">
      <c r="B162" s="2"/>
      <c r="C162" s="3"/>
      <c r="D162" s="1"/>
      <c r="E162" s="4"/>
      <c r="F162" s="1"/>
      <c r="G162" s="1"/>
      <c r="H162" s="1"/>
      <c r="I162" s="1"/>
      <c r="J162" s="1"/>
      <c r="K162" s="1"/>
      <c r="L162" s="1"/>
    </row>
    <row r="163" spans="2:12" x14ac:dyDescent="0.25">
      <c r="B163" s="2"/>
      <c r="C163" s="3"/>
      <c r="D163" s="1"/>
      <c r="E163" s="4"/>
      <c r="F163" s="1"/>
      <c r="G163" s="1"/>
      <c r="H163" s="1"/>
      <c r="I163" s="1"/>
      <c r="J163" s="1"/>
      <c r="K163" s="1"/>
      <c r="L163" s="1"/>
    </row>
    <row r="164" spans="2:12" x14ac:dyDescent="0.25">
      <c r="B164" s="2"/>
      <c r="C164" s="3"/>
      <c r="D164" s="1"/>
      <c r="E164" s="4"/>
      <c r="F164" s="1"/>
      <c r="G164" s="1"/>
      <c r="H164" s="1"/>
      <c r="I164" s="1"/>
      <c r="J164" s="1"/>
      <c r="K164" s="1"/>
      <c r="L164" s="1"/>
    </row>
    <row r="165" spans="2:12" x14ac:dyDescent="0.25">
      <c r="B165" s="2"/>
      <c r="C165" s="3"/>
      <c r="D165" s="1"/>
      <c r="E165" s="4"/>
      <c r="F165" s="1"/>
      <c r="G165" s="1"/>
      <c r="H165" s="1"/>
      <c r="I165" s="1"/>
      <c r="J165" s="1"/>
      <c r="K165" s="1"/>
      <c r="L165" s="1"/>
    </row>
    <row r="166" spans="2:12" x14ac:dyDescent="0.25">
      <c r="B166" s="2"/>
      <c r="C166" s="3"/>
      <c r="D166" s="1"/>
      <c r="E166" s="4"/>
      <c r="F166" s="1"/>
      <c r="G166" s="1"/>
      <c r="H166" s="1"/>
      <c r="I166" s="1"/>
      <c r="J166" s="1"/>
      <c r="K166" s="1"/>
      <c r="L166" s="1"/>
    </row>
    <row r="167" spans="2:12" x14ac:dyDescent="0.25">
      <c r="B167" s="2"/>
      <c r="C167" s="3"/>
      <c r="D167" s="1"/>
      <c r="E167" s="4"/>
      <c r="F167" s="1"/>
      <c r="G167" s="1"/>
      <c r="H167" s="1"/>
      <c r="I167" s="1"/>
      <c r="J167" s="1"/>
      <c r="K167" s="1"/>
      <c r="L167" s="1"/>
    </row>
    <row r="168" spans="2:12" x14ac:dyDescent="0.25">
      <c r="B168" s="2"/>
      <c r="C168" s="3"/>
      <c r="D168" s="1"/>
      <c r="E168" s="4"/>
      <c r="F168" s="1"/>
      <c r="G168" s="1"/>
      <c r="H168" s="1"/>
      <c r="I168" s="1"/>
      <c r="J168" s="1"/>
      <c r="K168" s="1"/>
      <c r="L168" s="1"/>
    </row>
    <row r="169" spans="2:12" x14ac:dyDescent="0.25">
      <c r="B169" s="2"/>
      <c r="C169" s="3"/>
      <c r="D169" s="1"/>
      <c r="E169" s="4"/>
      <c r="F169" s="1"/>
      <c r="G169" s="1"/>
      <c r="H169" s="1"/>
      <c r="I169" s="1"/>
      <c r="J169" s="1"/>
      <c r="K169" s="1"/>
      <c r="L169" s="1"/>
    </row>
    <row r="170" spans="2:12" x14ac:dyDescent="0.25">
      <c r="B170" s="2"/>
      <c r="C170" s="3"/>
      <c r="D170" s="1"/>
      <c r="E170" s="4"/>
      <c r="F170" s="1"/>
      <c r="G170" s="1"/>
      <c r="H170" s="1"/>
      <c r="I170" s="1"/>
      <c r="J170" s="1"/>
      <c r="K170" s="1"/>
      <c r="L170" s="1"/>
    </row>
    <row r="171" spans="2:12" x14ac:dyDescent="0.25">
      <c r="B171" s="2"/>
      <c r="C171" s="3"/>
      <c r="D171" s="1"/>
      <c r="E171" s="4"/>
      <c r="F171" s="1"/>
      <c r="G171" s="1"/>
      <c r="H171" s="1"/>
      <c r="I171" s="1"/>
      <c r="J171" s="1"/>
      <c r="K171" s="1"/>
      <c r="L171" s="1"/>
    </row>
    <row r="172" spans="2:12" x14ac:dyDescent="0.25">
      <c r="B172" s="2"/>
      <c r="C172" s="3"/>
      <c r="D172" s="1"/>
      <c r="E172" s="4"/>
      <c r="F172" s="1"/>
      <c r="G172" s="1"/>
      <c r="H172" s="1"/>
      <c r="I172" s="1"/>
      <c r="J172" s="1"/>
      <c r="K172" s="1"/>
      <c r="L172" s="1"/>
    </row>
    <row r="173" spans="2:12" x14ac:dyDescent="0.25">
      <c r="B173" s="2"/>
      <c r="C173" s="3"/>
      <c r="D173" s="1"/>
      <c r="E173" s="4"/>
      <c r="H173" s="1"/>
      <c r="I173" s="1"/>
      <c r="J173" s="1"/>
      <c r="K173" s="1"/>
      <c r="L173" s="1"/>
    </row>
    <row r="174" spans="2:12" x14ac:dyDescent="0.25">
      <c r="B174" s="2"/>
      <c r="C174" s="3"/>
      <c r="D174" s="1"/>
      <c r="E174" s="4"/>
      <c r="H174" s="1"/>
      <c r="I174" s="1"/>
      <c r="J174" s="1"/>
      <c r="K174" s="1"/>
      <c r="L174" s="1"/>
    </row>
    <row r="175" spans="2:12" x14ac:dyDescent="0.25">
      <c r="B175" s="2"/>
      <c r="C175" s="3"/>
      <c r="D175" s="1"/>
      <c r="E175" s="4"/>
      <c r="H175" s="1"/>
      <c r="I175" s="1"/>
      <c r="J175" s="1"/>
      <c r="K175" s="1"/>
      <c r="L175" s="1"/>
    </row>
  </sheetData>
  <mergeCells count="11">
    <mergeCell ref="C17:D17"/>
    <mergeCell ref="C26:D26"/>
    <mergeCell ref="C35:D35"/>
    <mergeCell ref="C44:D44"/>
    <mergeCell ref="B3:J3"/>
    <mergeCell ref="O3:P3"/>
    <mergeCell ref="C5:D5"/>
    <mergeCell ref="F5:G5"/>
    <mergeCell ref="I5:J5"/>
    <mergeCell ref="C10:D10"/>
    <mergeCell ref="F10:G10"/>
  </mergeCells>
  <conditionalFormatting sqref="D37:D38">
    <cfRule type="expression" dxfId="3" priority="4">
      <formula>$D$36="Non-Twisted"</formula>
    </cfRule>
  </conditionalFormatting>
  <conditionalFormatting sqref="D14">
    <cfRule type="expression" dxfId="2" priority="3">
      <formula>$D$13="Not Included"</formula>
    </cfRule>
  </conditionalFormatting>
  <conditionalFormatting sqref="D28">
    <cfRule type="expression" dxfId="1" priority="2">
      <formula>NOT($D$27="Multiple to Single")</formula>
    </cfRule>
  </conditionalFormatting>
  <conditionalFormatting sqref="D29">
    <cfRule type="expression" dxfId="0" priority="1">
      <formula>($D$27="Single to Single")</formula>
    </cfRule>
  </conditionalFormatting>
  <dataValidations count="12">
    <dataValidation type="list" allowBlank="1" showInputMessage="1" showErrorMessage="1" sqref="D29" xr:uid="{965BCA9F-0A33-48A4-9482-01A41277F3E7}">
      <formula1>NumberOfPositionList</formula1>
    </dataValidation>
    <dataValidation type="list" allowBlank="1" showInputMessage="1" showErrorMessage="1" sqref="I13:I24" xr:uid="{16A064EE-C209-453A-8448-C31FC29145AE}">
      <formula1>Single_to_Single</formula1>
    </dataValidation>
    <dataValidation type="list" allowBlank="1" showInputMessage="1" showErrorMessage="1" sqref="D27" xr:uid="{6BD07ADA-0301-427F-A317-AAD3F6347AFC}">
      <formula1>CableHarnessTypeList</formula1>
    </dataValidation>
    <dataValidation type="list" allowBlank="1" showInputMessage="1" showErrorMessage="1" sqref="G6" xr:uid="{D1D228B2-C9EB-4550-B086-D093C897289F}">
      <formula1>YesAndNo</formula1>
    </dataValidation>
    <dataValidation type="list" allowBlank="1" showInputMessage="1" showErrorMessage="1" sqref="D28" xr:uid="{531C5CF0-1139-48D7-AF45-C9CDACC925D3}">
      <formula1>CableHarnessSideList</formula1>
    </dataValidation>
    <dataValidation type="list" allowBlank="1" showInputMessage="1" showErrorMessage="1" sqref="D9 D15:D16" xr:uid="{06ED6FE5-D961-40AC-A9A9-2D3BADE1FF7C}">
      <formula1>DrawingOptionList</formula1>
    </dataValidation>
    <dataValidation type="list" allowBlank="1" showInputMessage="1" showErrorMessage="1" sqref="D11" xr:uid="{13FC2D9B-A332-4CA3-95E3-8E7E62786D18}">
      <formula1>DrawingSizeList</formula1>
    </dataValidation>
    <dataValidation type="list" allowBlank="1" showInputMessage="1" showErrorMessage="1" sqref="D12" xr:uid="{5F9F9240-6C16-4E1E-95D1-17755BF40306}">
      <formula1>DrawNoteList</formula1>
    </dataValidation>
    <dataValidation type="list" allowBlank="1" showInputMessage="1" showErrorMessage="1" sqref="D13" xr:uid="{E1D4FA82-4671-409D-8E4F-42FC2AEC3F09}">
      <formula1>PackingNoteList</formula1>
    </dataValidation>
    <dataValidation type="list" allowBlank="1" showInputMessage="1" showErrorMessage="1" sqref="D8" xr:uid="{5891D220-67A7-4DDA-8CA7-808B9F8EA607}">
      <formula1>CustomerCodeList</formula1>
    </dataValidation>
    <dataValidation type="list" allowBlank="1" showInputMessage="1" showErrorMessage="1" sqref="D36" xr:uid="{14E1AE69-12B7-4706-8BCC-EB7476F306E4}">
      <formula1>WireTwistTypeList</formula1>
    </dataValidation>
    <dataValidation type="list" allowBlank="1" showInputMessage="1" showErrorMessage="1" sqref="J7:J10" xr:uid="{BAB6F744-F9A9-446C-87AD-82362AE9ED36}">
      <formula1>WireRouteList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166</vt:i4>
      </vt:variant>
    </vt:vector>
  </HeadingPairs>
  <TitlesOfParts>
    <vt:vector size="173" baseType="lpstr">
      <vt:lpstr>Cable Harness Configuration</vt:lpstr>
      <vt:lpstr>P-DRAWING BOM</vt:lpstr>
      <vt:lpstr>MODEL BOM</vt:lpstr>
      <vt:lpstr>C-DRAWING BOM</vt:lpstr>
      <vt:lpstr>Co-ordinates_Points</vt:lpstr>
      <vt:lpstr>Pin Out Chart General</vt:lpstr>
      <vt:lpstr>Reference</vt:lpstr>
      <vt:lpstr>Approved_By</vt:lpstr>
      <vt:lpstr>Approved_Date</vt:lpstr>
      <vt:lpstr>Approved_Dtae</vt:lpstr>
      <vt:lpstr>Reference!AssemblyName</vt:lpstr>
      <vt:lpstr>AssemblyName</vt:lpstr>
      <vt:lpstr>CABLE_LABEL_PARTS</vt:lpstr>
      <vt:lpstr>CABLE_PART</vt:lpstr>
      <vt:lpstr>CABLE_SEARCH_COLUMN</vt:lpstr>
      <vt:lpstr>Reference!CableHarnessSide</vt:lpstr>
      <vt:lpstr>CableHarnessSide</vt:lpstr>
      <vt:lpstr>Reference!CableHarnessType</vt:lpstr>
      <vt:lpstr>CableHarnessType</vt:lpstr>
      <vt:lpstr>CavAInsertDesc</vt:lpstr>
      <vt:lpstr>CavAInsertMtl</vt:lpstr>
      <vt:lpstr>CavAInsertName</vt:lpstr>
      <vt:lpstr>CavAInsertPN</vt:lpstr>
      <vt:lpstr>CavBInsertDesc</vt:lpstr>
      <vt:lpstr>CavBInsertMtl</vt:lpstr>
      <vt:lpstr>CavBInsertName</vt:lpstr>
      <vt:lpstr>CavBInsertPN</vt:lpstr>
      <vt:lpstr>CavCInsertDesc</vt:lpstr>
      <vt:lpstr>CavCInsertMtl</vt:lpstr>
      <vt:lpstr>CavCInsertName</vt:lpstr>
      <vt:lpstr>CavCInsertPN</vt:lpstr>
      <vt:lpstr>CavDInsertDesc</vt:lpstr>
      <vt:lpstr>CavDInsertMtl</vt:lpstr>
      <vt:lpstr>CavDInsertName</vt:lpstr>
      <vt:lpstr>CavDInsertPN</vt:lpstr>
      <vt:lpstr>CavEInsertDesc</vt:lpstr>
      <vt:lpstr>CavEInsertMtl</vt:lpstr>
      <vt:lpstr>CavEInsertName</vt:lpstr>
      <vt:lpstr>CavEInsertPN</vt:lpstr>
      <vt:lpstr>CavFInsertDesc</vt:lpstr>
      <vt:lpstr>CavFInsertMtl</vt:lpstr>
      <vt:lpstr>CavFInsertName</vt:lpstr>
      <vt:lpstr>CavFInsertPN</vt:lpstr>
      <vt:lpstr>Reference!CavityCInsert</vt:lpstr>
      <vt:lpstr>CavityCInsert</vt:lpstr>
      <vt:lpstr>Reference!CavityDInsert</vt:lpstr>
      <vt:lpstr>CavityDInsert</vt:lpstr>
      <vt:lpstr>Reference!CavityEInsert</vt:lpstr>
      <vt:lpstr>CavityEInsert</vt:lpstr>
      <vt:lpstr>Reference!CavityFInsert</vt:lpstr>
      <vt:lpstr>CavityFInsert</vt:lpstr>
      <vt:lpstr>Checked_by</vt:lpstr>
      <vt:lpstr>Checked_Date</vt:lpstr>
      <vt:lpstr>ClinchNutDesc</vt:lpstr>
      <vt:lpstr>ClinchNutMdlName</vt:lpstr>
      <vt:lpstr>ClinchNutPN</vt:lpstr>
      <vt:lpstr>Reference!CoilDiameter</vt:lpstr>
      <vt:lpstr>CoilDiameter</vt:lpstr>
      <vt:lpstr>CompFoundStatus</vt:lpstr>
      <vt:lpstr>CONN1CAVITYPITCH</vt:lpstr>
      <vt:lpstr>CONN2CAVITYPITCH</vt:lpstr>
      <vt:lpstr>Reference!ConnectorRotation1</vt:lpstr>
      <vt:lpstr>ConnectorRotation1</vt:lpstr>
      <vt:lpstr>Reference!ConnectorRotation2</vt:lpstr>
      <vt:lpstr>ConnectorRotation2</vt:lpstr>
      <vt:lpstr>Reference!ConnectorRotation3</vt:lpstr>
      <vt:lpstr>ConnectorRotation3</vt:lpstr>
      <vt:lpstr>Reference!ConnectorRotation4</vt:lpstr>
      <vt:lpstr>ConnectorRotation4</vt:lpstr>
      <vt:lpstr>Reference!ConnectorRotation5</vt:lpstr>
      <vt:lpstr>ConnectorRotation5</vt:lpstr>
      <vt:lpstr>Reference!CustomerCode</vt:lpstr>
      <vt:lpstr>CustomerCode</vt:lpstr>
      <vt:lpstr>Reference!CustomerDrawingOption</vt:lpstr>
      <vt:lpstr>CustomerDrawingOption</vt:lpstr>
      <vt:lpstr>Reference!CustomerNumber</vt:lpstr>
      <vt:lpstr>CustomerNumber</vt:lpstr>
      <vt:lpstr>Drawing_Title</vt:lpstr>
      <vt:lpstr>Reference!DrawingNotes</vt:lpstr>
      <vt:lpstr>DrawingNotes</vt:lpstr>
      <vt:lpstr>Reference!DrawingSize</vt:lpstr>
      <vt:lpstr>DrawingSize</vt:lpstr>
      <vt:lpstr>Drawn_By</vt:lpstr>
      <vt:lpstr>Drawn_Date</vt:lpstr>
      <vt:lpstr>Drawn_Dtae</vt:lpstr>
      <vt:lpstr>DustCoverDesc</vt:lpstr>
      <vt:lpstr>DustCoverMdlName</vt:lpstr>
      <vt:lpstr>DustCoverPN</vt:lpstr>
      <vt:lpstr>Reference!HarnessLengthD1</vt:lpstr>
      <vt:lpstr>HarnessLengthD1</vt:lpstr>
      <vt:lpstr>Reference!HarnessLengthD2</vt:lpstr>
      <vt:lpstr>HarnessLengthD2</vt:lpstr>
      <vt:lpstr>Reference!HarnessLengthD3</vt:lpstr>
      <vt:lpstr>HarnessLengthD3</vt:lpstr>
      <vt:lpstr>Reference!HarnessLengthD4</vt:lpstr>
      <vt:lpstr>HarnessLengthD4</vt:lpstr>
      <vt:lpstr>KeyKeyWayDesc</vt:lpstr>
      <vt:lpstr>KeyKeyWayMdlName</vt:lpstr>
      <vt:lpstr>KeyKeyWayPN</vt:lpstr>
      <vt:lpstr>KeyKeyWayPNB3</vt:lpstr>
      <vt:lpstr>KeyPostDesc</vt:lpstr>
      <vt:lpstr>KeyPostMdlName</vt:lpstr>
      <vt:lpstr>KeyPostModelName</vt:lpstr>
      <vt:lpstr>KeyPostPN</vt:lpstr>
      <vt:lpstr>KeyRetainerDesc</vt:lpstr>
      <vt:lpstr>KeyRetainerMdlName</vt:lpstr>
      <vt:lpstr>KeyRetainerPN</vt:lpstr>
      <vt:lpstr>KeyScrewDesc</vt:lpstr>
      <vt:lpstr>KeyScrewMdlName</vt:lpstr>
      <vt:lpstr>KeyScrewPN</vt:lpstr>
      <vt:lpstr>LABEL_PART</vt:lpstr>
      <vt:lpstr>LABEL_SEARCH_COLUMN</vt:lpstr>
      <vt:lpstr>Multiple_Conn_search_Column</vt:lpstr>
      <vt:lpstr>MULTIPLE_CONNECTOR1</vt:lpstr>
      <vt:lpstr>Reference!NumberOfPosition</vt:lpstr>
      <vt:lpstr>NumberOfPosition</vt:lpstr>
      <vt:lpstr>Reference!PackingNote</vt:lpstr>
      <vt:lpstr>PackingNote</vt:lpstr>
      <vt:lpstr>PlugCenterKeyPos</vt:lpstr>
      <vt:lpstr>PlugLeftKeyPos</vt:lpstr>
      <vt:lpstr>PlugRightKeyPos</vt:lpstr>
      <vt:lpstr>Reference!Qty</vt:lpstr>
      <vt:lpstr>Qty</vt:lpstr>
      <vt:lpstr>RecptCenterKeyPos</vt:lpstr>
      <vt:lpstr>RecptLeftKeyPos</vt:lpstr>
      <vt:lpstr>RecptRightKeyPos</vt:lpstr>
      <vt:lpstr>RetainerPCDesc</vt:lpstr>
      <vt:lpstr>RetainerPCMdlName</vt:lpstr>
      <vt:lpstr>RetainerPCPN</vt:lpstr>
      <vt:lpstr>RetainerPLDesc</vt:lpstr>
      <vt:lpstr>RetainerPLMdlName</vt:lpstr>
      <vt:lpstr>RetainerPLModelName</vt:lpstr>
      <vt:lpstr>RetainerPLPN</vt:lpstr>
      <vt:lpstr>RetainerPRDesc</vt:lpstr>
      <vt:lpstr>RetainerPRMdlName</vt:lpstr>
      <vt:lpstr>RetainerPRModelName</vt:lpstr>
      <vt:lpstr>RetainerPRPN</vt:lpstr>
      <vt:lpstr>RetainerSCDesc</vt:lpstr>
      <vt:lpstr>RetainerSCMdlName</vt:lpstr>
      <vt:lpstr>RetainerSCModelName</vt:lpstr>
      <vt:lpstr>RetainerSCPN</vt:lpstr>
      <vt:lpstr>RetainerScrewDesc</vt:lpstr>
      <vt:lpstr>RetainerScrewMdlName</vt:lpstr>
      <vt:lpstr>RetainerScrewPN</vt:lpstr>
      <vt:lpstr>RetainerSLDesc</vt:lpstr>
      <vt:lpstr>RetainerSLMdlName</vt:lpstr>
      <vt:lpstr>RetainerSLPN</vt:lpstr>
      <vt:lpstr>RetainerSRDesc</vt:lpstr>
      <vt:lpstr>RetainerSRMdlName</vt:lpstr>
      <vt:lpstr>RetainerSRPN</vt:lpstr>
      <vt:lpstr>ShellDesc</vt:lpstr>
      <vt:lpstr>ShellMdlName</vt:lpstr>
      <vt:lpstr>ShellPN</vt:lpstr>
      <vt:lpstr>Reference!TapePitch</vt:lpstr>
      <vt:lpstr>TapePitch</vt:lpstr>
      <vt:lpstr>Reference!TapeStartDistance</vt:lpstr>
      <vt:lpstr>TapeStartDistance</vt:lpstr>
      <vt:lpstr>Reference!TapeYesNo</vt:lpstr>
      <vt:lpstr>TapeYesNo</vt:lpstr>
      <vt:lpstr>Reference!WireDiamenterW1</vt:lpstr>
      <vt:lpstr>WireDiamenterW1</vt:lpstr>
      <vt:lpstr>Reference!WireDiamenterW2</vt:lpstr>
      <vt:lpstr>WireDiamenterW2</vt:lpstr>
      <vt:lpstr>Reference!WireDiamenterW3</vt:lpstr>
      <vt:lpstr>WireDiamenterW3</vt:lpstr>
      <vt:lpstr>Reference!WireDiamenterW4</vt:lpstr>
      <vt:lpstr>WireDiamenterW4</vt:lpstr>
      <vt:lpstr>Reference!WireTwistLength</vt:lpstr>
      <vt:lpstr>WireTwistLength</vt:lpstr>
      <vt:lpstr>Reference!WireTwistPitch</vt:lpstr>
      <vt:lpstr>WireTwistPitch</vt:lpstr>
      <vt:lpstr>Reference!WireTwistType</vt:lpstr>
      <vt:lpstr>WireTwistType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Eddahbi, Youssef</dc:creator>
  <cp:lastModifiedBy>Eddahbi, Youssef</cp:lastModifiedBy>
  <dcterms:created xsi:type="dcterms:W3CDTF">2021-09-13T11:24:18Z</dcterms:created>
  <dcterms:modified xsi:type="dcterms:W3CDTF">2022-01-10T08:52:17Z</dcterms:modified>
</cp:coreProperties>
</file>